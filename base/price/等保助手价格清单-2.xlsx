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060"/>
  </bookViews>
  <sheets>
    <sheet name="报价单 （月租）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<sst xmlns="http://schemas.openxmlformats.org/spreadsheetml/2006/main" count="92" uniqueCount="40">
  <si>
    <t>天翼安全科技有限公司-等保助手2.0随心选报价单</t>
  </si>
  <si>
    <t>No.</t>
  </si>
  <si>
    <t>产品名称</t>
  </si>
  <si>
    <t>产品形态</t>
  </si>
  <si>
    <t>规格</t>
  </si>
  <si>
    <t>型号</t>
  </si>
  <si>
    <t>产品参数</t>
  </si>
  <si>
    <t>性能参数</t>
  </si>
  <si>
    <t>数量</t>
  </si>
  <si>
    <t>单价（元/月)</t>
  </si>
  <si>
    <t>服务周期/月</t>
  </si>
  <si>
    <t>服务期总价（元）</t>
  </si>
  <si>
    <t>SaaS下一代防火墙</t>
  </si>
  <si>
    <t>Saas服务</t>
  </si>
  <si>
    <t>50Mbps+5IP数</t>
  </si>
  <si>
    <t>--</t>
  </si>
  <si>
    <t>300Mbps+20IP数</t>
  </si>
  <si>
    <t>SaaSWeb应用防火墙</t>
  </si>
  <si>
    <t>50Mbps+5域名</t>
  </si>
  <si>
    <t>300Mbps+20域名</t>
  </si>
  <si>
    <t>SaaS云镜主机安全-服务器版</t>
  </si>
  <si>
    <t>1个服务器标准版授权</t>
  </si>
  <si>
    <t>1个服务器旗舰版授权</t>
  </si>
  <si>
    <t>SaaS日志审计</t>
  </si>
  <si>
    <t>5个日志源+存储6个月日志</t>
  </si>
  <si>
    <t>20个日志源+存储6个月日志</t>
  </si>
  <si>
    <t>SaaS堡垒机</t>
  </si>
  <si>
    <t>5*资产数</t>
  </si>
  <si>
    <t>SaaS数据库审计</t>
  </si>
  <si>
    <t>1个数据库节点</t>
  </si>
  <si>
    <t>SaaS主机安全-PC版</t>
  </si>
  <si>
    <t>1个PC标准版授权</t>
  </si>
  <si>
    <t>1个PC旗舰版授权</t>
  </si>
  <si>
    <t>产品价格：</t>
  </si>
  <si>
    <t>元/月</t>
  </si>
  <si>
    <t>SAAS化订单折扣：</t>
  </si>
  <si>
    <t>100%</t>
  </si>
  <si>
    <t>折扣价格：</t>
  </si>
  <si>
    <t>报价单日期：</t>
  </si>
  <si>
    <t>注：  
1、此报价单本身及其上述所列信息，未经天翼安全科技有限公司授权不得提供给任何第三方，否则我司将保留追偿损失的权利。
2、此报价单为该项目整单采购价格，如非整单采购，需针对实际采购需求进行单独报价。
3、此报价单的有效期为三个月，超期后请咨询接口人重新测算价格。
4、软件产品需承诺使用服务一年，硬件产品需要承诺使用服务三年。
5、随心选业务通过不同的产品形态为客户提供安全防护能力，硬件仅作为提供服务的实现形式，不承诺服务到期后客户可留存硬件设备。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</si>
</sst>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_);[Red]\(0.00\)"/>
  </numFmts>
  <fonts count="37">
    <font>
      <sz val="10"/>
      <color theme="1"/>
      <name val="微软雅黑"/>
      <charset val="134"/>
    </font>
    <font>
      <sz val="9"/>
      <color theme="1"/>
      <name val="仿宋"/>
      <charset val="134"/>
    </font>
    <font>
      <b/>
      <sz val="18"/>
      <color theme="1"/>
      <name val="微软雅黑"/>
      <charset val="134"/>
    </font>
    <font>
      <sz val="18"/>
      <color theme="1"/>
      <name val="微软雅黑"/>
      <charset val="134"/>
    </font>
    <font>
      <b/>
      <sz val="14"/>
      <color theme="0"/>
      <name val="微软雅黑"/>
      <charset val="134"/>
    </font>
    <font>
      <sz val="14"/>
      <name val="微软雅黑"/>
      <charset val="134"/>
    </font>
    <font>
      <b/>
      <sz val="12"/>
      <name val="微软雅黑"/>
      <charset val="134"/>
    </font>
    <font>
      <sz val="12"/>
      <name val="微软雅黑"/>
      <charset val="134"/>
    </font>
    <font>
      <sz val="14"/>
      <color theme="1"/>
      <name val="微软雅黑"/>
      <charset val="134"/>
    </font>
    <font>
      <sz val="14"/>
      <color theme="1"/>
      <name val="仿宋"/>
      <charset val="134"/>
    </font>
    <font>
      <b/>
      <sz val="14"/>
      <color theme="1"/>
      <name val="微软雅黑"/>
      <charset val="134"/>
    </font>
    <font>
      <b/>
      <sz val="14"/>
      <color rgb="FFFF0000"/>
      <name val="微软雅黑"/>
      <charset val="134"/>
    </font>
    <font>
      <b/>
      <sz val="14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sz val="12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5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8" applyNumberFormat="0" applyAlignment="0" applyProtection="0">
      <alignment vertical="center"/>
    </xf>
    <xf numFmtId="0" fontId="24" fillId="7" borderId="9" applyNumberFormat="0" applyAlignment="0" applyProtection="0">
      <alignment vertical="center"/>
    </xf>
    <xf numFmtId="0" fontId="25" fillId="7" borderId="8" applyNumberFormat="0" applyAlignment="0" applyProtection="0">
      <alignment vertical="center"/>
    </xf>
    <xf numFmtId="0" fontId="26" fillId="8" borderId="10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9" fontId="34" fillId="0" borderId="0" applyFont="0" applyFill="0" applyBorder="0" applyAlignment="0" applyProtection="0"/>
    <xf numFmtId="0" fontId="35" fillId="0" borderId="0"/>
    <xf numFmtId="0" fontId="34" fillId="0" borderId="0"/>
    <xf numFmtId="0" fontId="3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34" fillId="0" borderId="0" applyFont="0" applyFill="0" applyBorder="0" applyAlignment="0" applyProtection="0"/>
    <xf numFmtId="0" fontId="36" fillId="0" borderId="0"/>
  </cellStyleXfs>
  <cellXfs count="3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Protection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 applyProtection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 applyProtection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176" fontId="8" fillId="0" borderId="3" xfId="0" applyNumberFormat="1" applyFont="1" applyBorder="1" applyAlignment="1" applyProtection="1">
      <alignment horizontal="center" vertical="center"/>
      <protection locked="0"/>
    </xf>
    <xf numFmtId="176" fontId="5" fillId="4" borderId="3" xfId="1" applyNumberFormat="1" applyFont="1" applyFill="1" applyBorder="1" applyAlignment="1" applyProtection="1">
      <alignment horizontal="center" vertical="center"/>
    </xf>
    <xf numFmtId="176" fontId="5" fillId="0" borderId="3" xfId="1" applyNumberFormat="1" applyFont="1" applyBorder="1" applyAlignment="1" applyProtection="1">
      <alignment horizontal="center" vertical="center"/>
      <protection locked="0"/>
    </xf>
    <xf numFmtId="176" fontId="5" fillId="0" borderId="3" xfId="1" applyNumberFormat="1" applyFont="1" applyBorder="1" applyAlignment="1" applyProtection="1">
      <alignment horizontal="center" vertical="center"/>
    </xf>
    <xf numFmtId="0" fontId="9" fillId="0" borderId="0" xfId="0" applyFont="1" applyAlignment="1">
      <alignment vertical="center" wrapText="1"/>
    </xf>
    <xf numFmtId="176" fontId="10" fillId="2" borderId="1" xfId="0" applyNumberFormat="1" applyFont="1" applyFill="1" applyBorder="1" applyAlignment="1">
      <alignment horizontal="right" vertical="center" wrapText="1"/>
    </xf>
    <xf numFmtId="176" fontId="10" fillId="2" borderId="2" xfId="0" applyNumberFormat="1" applyFont="1" applyFill="1" applyBorder="1" applyAlignment="1">
      <alignment horizontal="right" vertical="center" wrapText="1"/>
    </xf>
    <xf numFmtId="0" fontId="0" fillId="0" borderId="4" xfId="0" applyBorder="1" applyAlignment="1">
      <alignment vertical="center" wrapText="1"/>
    </xf>
    <xf numFmtId="176" fontId="10" fillId="2" borderId="3" xfId="0" applyNumberFormat="1" applyFont="1" applyFill="1" applyBorder="1" applyAlignment="1">
      <alignment horizontal="center" vertical="center" wrapText="1"/>
    </xf>
    <xf numFmtId="176" fontId="10" fillId="2" borderId="3" xfId="0" applyNumberFormat="1" applyFont="1" applyFill="1" applyBorder="1" applyAlignment="1" applyProtection="1">
      <alignment horizontal="center" vertical="center" wrapText="1"/>
    </xf>
    <xf numFmtId="9" fontId="11" fillId="2" borderId="3" xfId="0" applyNumberFormat="1" applyFont="1" applyFill="1" applyBorder="1" applyAlignment="1" applyProtection="1">
      <alignment horizontal="center" vertical="center" wrapText="1"/>
      <protection locked="0"/>
    </xf>
    <xf numFmtId="177" fontId="10" fillId="2" borderId="3" xfId="0" applyNumberFormat="1" applyFont="1" applyFill="1" applyBorder="1" applyAlignment="1" applyProtection="1">
      <alignment horizontal="center"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 applyProtection="1">
      <alignment horizontal="center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 applyProtection="1">
      <alignment horizontal="left" vertical="center" wrapText="1"/>
    </xf>
    <xf numFmtId="0" fontId="13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15" xfId="50"/>
    <cellStyle name="常规 2" xfId="51"/>
    <cellStyle name="常规 2 2 10 2" xfId="52"/>
    <cellStyle name="常规 3" xfId="53"/>
    <cellStyle name="常规 4" xfId="54"/>
    <cellStyle name="常规 4 2 10 10 11" xfId="55"/>
    <cellStyle name="千位分隔[0] 2" xfId="56"/>
    <cellStyle name="样式 1" xfId="57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152400</xdr:colOff>
      <xdr:row>0</xdr:row>
      <xdr:rowOff>12065</xdr:rowOff>
    </xdr:from>
    <xdr:to>
      <xdr:col>1</xdr:col>
      <xdr:colOff>1265555</xdr:colOff>
      <xdr:row>0</xdr:row>
      <xdr:rowOff>539750</xdr:rowOff>
    </xdr:to>
    <xdr:pic>
      <xdr:nvPicPr>
        <xdr:cNvPr id="3" name="Picture 8" descr="C:\Users\Administrator\Desktop\图标\图标-调整-124.png图标-调整-124"/>
        <xdr:cNvPicPr>
          <a:picLocks noChangeAspect="1"/>
        </xdr:cNvPicPr>
      </xdr:nvPicPr>
      <xdr:blipFill>
        <a:blip r:embed="rId1"/>
        <a:srcRect l="8022" t="34618" r="6322" b="35747"/>
        <a:stretch>
          <a:fillRect/>
        </a:stretch>
      </xdr:blipFill>
      <xdr:spPr>
        <a:xfrm>
          <a:off x="152400" y="12065"/>
          <a:ext cx="1628140" cy="527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9076</xdr:colOff>
      <xdr:row>0</xdr:row>
      <xdr:rowOff>136071</xdr:rowOff>
    </xdr:from>
    <xdr:to>
      <xdr:col>3</xdr:col>
      <xdr:colOff>549417</xdr:colOff>
      <xdr:row>0</xdr:row>
      <xdr:rowOff>541231</xdr:rowOff>
    </xdr:to>
    <xdr:pic>
      <xdr:nvPicPr>
        <xdr:cNvPr id="5" name="图片 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8970" y="135890"/>
          <a:ext cx="1543050" cy="4051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zoomScale="70" zoomScaleNormal="70" workbookViewId="0">
      <pane ySplit="1" topLeftCell="A2" activePane="bottomLeft" state="frozen"/>
      <selection/>
      <selection pane="bottomLeft" activeCell="G16" sqref="G16"/>
    </sheetView>
  </sheetViews>
  <sheetFormatPr defaultColWidth="8.6640625" defaultRowHeight="13.6"/>
  <cols>
    <col min="1" max="1" width="6.3359375" style="1" customWidth="1"/>
    <col min="2" max="2" width="17.1640625" style="2" customWidth="1"/>
    <col min="3" max="3" width="12.3359375" style="2" customWidth="1"/>
    <col min="4" max="4" width="10.8359375" style="2" customWidth="1"/>
    <col min="5" max="5" width="15.5859375" style="2" customWidth="1"/>
    <col min="6" max="6" width="8.9140625" style="2" customWidth="1"/>
    <col min="7" max="7" width="27.5" style="1" customWidth="1"/>
    <col min="8" max="8" width="21.6640625" style="1" customWidth="1"/>
    <col min="9" max="9" width="9" style="1" customWidth="1"/>
    <col min="10" max="10" width="16.8359375" style="1" customWidth="1"/>
    <col min="11" max="11" width="19.1640625" style="1" customWidth="1"/>
    <col min="12" max="12" width="38.75" style="3" customWidth="1"/>
    <col min="13" max="13" width="19.1640625" style="1" customWidth="1"/>
    <col min="14" max="14" width="10" style="1" customWidth="1"/>
    <col min="15" max="16384" width="8.6640625" style="1"/>
  </cols>
  <sheetData>
    <row r="1" ht="46" customHeight="1" spans="1:1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6"/>
      <c r="L1" s="7"/>
    </row>
    <row r="2" ht="29" customHeight="1" spans="1:13">
      <c r="A2" s="8" t="s">
        <v>1</v>
      </c>
      <c r="B2" s="8" t="s">
        <v>2</v>
      </c>
      <c r="C2" s="8" t="s">
        <v>3</v>
      </c>
      <c r="D2" s="9" t="s">
        <v>4</v>
      </c>
      <c r="E2" s="10"/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11" t="s">
        <v>11</v>
      </c>
    </row>
    <row r="3" ht="20.4" spans="1:13">
      <c r="A3" s="12">
        <v>1</v>
      </c>
      <c r="B3" s="13" t="s">
        <v>12</v>
      </c>
      <c r="C3" s="13" t="s">
        <v>13</v>
      </c>
      <c r="D3" s="14" t="s">
        <v>14</v>
      </c>
      <c r="E3" s="15"/>
      <c r="F3" s="13" t="s">
        <v>15</v>
      </c>
      <c r="G3" s="16" t="s">
        <v>15</v>
      </c>
      <c r="H3" s="16" t="s">
        <v>15</v>
      </c>
      <c r="I3" s="17">
        <v>1</v>
      </c>
      <c r="J3" s="18">
        <v>500</v>
      </c>
      <c r="K3" s="19"/>
      <c r="L3" s="20" t="e">
        <f>#REF!*K3</f>
        <v>#REF!</v>
      </c>
      <c r="M3" s="21"/>
    </row>
    <row r="4" s="1" customFormat="1" ht="20.4" spans="1:13">
      <c r="A4" s="12">
        <v>2</v>
      </c>
      <c r="B4" s="13" t="s">
        <v>12</v>
      </c>
      <c r="C4" s="13" t="s">
        <v>13</v>
      </c>
      <c r="D4" s="14" t="s">
        <v>16</v>
      </c>
      <c r="E4" s="15"/>
      <c r="F4" s="13" t="s">
        <v>15</v>
      </c>
      <c r="G4" s="16" t="s">
        <v>15</v>
      </c>
      <c r="H4" s="16" t="s">
        <v>15</v>
      </c>
      <c r="I4" s="17">
        <v>1</v>
      </c>
      <c r="J4" s="18">
        <v>1200</v>
      </c>
      <c r="K4" s="19"/>
      <c r="L4" s="20" t="e">
        <f>#REF!*K4</f>
        <v>#REF!</v>
      </c>
      <c r="M4" s="21"/>
    </row>
    <row r="5" ht="36" spans="1:13">
      <c r="A5" s="12">
        <v>3</v>
      </c>
      <c r="B5" s="13" t="s">
        <v>17</v>
      </c>
      <c r="C5" s="13" t="s">
        <v>13</v>
      </c>
      <c r="D5" s="14" t="s">
        <v>18</v>
      </c>
      <c r="E5" s="15"/>
      <c r="F5" s="13" t="s">
        <v>15</v>
      </c>
      <c r="G5" s="16" t="s">
        <v>15</v>
      </c>
      <c r="H5" s="16" t="s">
        <v>15</v>
      </c>
      <c r="I5" s="17">
        <v>1</v>
      </c>
      <c r="J5" s="18">
        <v>500</v>
      </c>
      <c r="K5" s="19"/>
      <c r="L5" s="20" t="e">
        <f>#REF!*K5</f>
        <v>#REF!</v>
      </c>
      <c r="M5" s="21"/>
    </row>
    <row r="6" s="1" customFormat="1" ht="36" spans="1:13">
      <c r="A6" s="12">
        <v>4</v>
      </c>
      <c r="B6" s="13" t="s">
        <v>17</v>
      </c>
      <c r="C6" s="13" t="s">
        <v>13</v>
      </c>
      <c r="D6" s="14" t="s">
        <v>19</v>
      </c>
      <c r="E6" s="15"/>
      <c r="F6" s="13" t="s">
        <v>15</v>
      </c>
      <c r="G6" s="16" t="s">
        <v>15</v>
      </c>
      <c r="H6" s="16" t="s">
        <v>15</v>
      </c>
      <c r="I6" s="17">
        <v>1</v>
      </c>
      <c r="J6" s="18">
        <v>1200</v>
      </c>
      <c r="K6" s="19"/>
      <c r="L6" s="20" t="e">
        <f>#REF!*K6</f>
        <v>#REF!</v>
      </c>
      <c r="M6" s="21"/>
    </row>
    <row r="7" ht="36" spans="1:13">
      <c r="A7" s="12">
        <v>5</v>
      </c>
      <c r="B7" s="13" t="s">
        <v>20</v>
      </c>
      <c r="C7" s="13" t="s">
        <v>13</v>
      </c>
      <c r="D7" s="14" t="s">
        <v>21</v>
      </c>
      <c r="E7" s="15"/>
      <c r="F7" s="13" t="s">
        <v>15</v>
      </c>
      <c r="G7" s="16" t="s">
        <v>15</v>
      </c>
      <c r="H7" s="16" t="s">
        <v>15</v>
      </c>
      <c r="I7" s="17">
        <v>1</v>
      </c>
      <c r="J7" s="18">
        <v>120</v>
      </c>
      <c r="K7" s="19"/>
      <c r="L7" s="20" t="e">
        <f>#REF!*K7</f>
        <v>#REF!</v>
      </c>
      <c r="M7" s="21"/>
    </row>
    <row r="8" s="1" customFormat="1" ht="36" spans="1:13">
      <c r="A8" s="12">
        <v>6</v>
      </c>
      <c r="B8" s="13" t="s">
        <v>20</v>
      </c>
      <c r="C8" s="13" t="s">
        <v>13</v>
      </c>
      <c r="D8" s="14" t="s">
        <v>22</v>
      </c>
      <c r="E8" s="15"/>
      <c r="F8" s="13" t="s">
        <v>15</v>
      </c>
      <c r="G8" s="16" t="s">
        <v>15</v>
      </c>
      <c r="H8" s="16" t="s">
        <v>15</v>
      </c>
      <c r="I8" s="17">
        <v>1</v>
      </c>
      <c r="J8" s="18">
        <v>200</v>
      </c>
      <c r="K8" s="19"/>
      <c r="L8" s="20" t="e">
        <f>#REF!*K8</f>
        <v>#REF!</v>
      </c>
      <c r="M8" s="21"/>
    </row>
    <row r="9" ht="20.4" spans="1:13">
      <c r="A9" s="12">
        <v>7</v>
      </c>
      <c r="B9" s="13" t="s">
        <v>23</v>
      </c>
      <c r="C9" s="13" t="s">
        <v>13</v>
      </c>
      <c r="D9" s="14" t="s">
        <v>24</v>
      </c>
      <c r="E9" s="15"/>
      <c r="F9" s="13" t="s">
        <v>15</v>
      </c>
      <c r="G9" s="16" t="s">
        <v>15</v>
      </c>
      <c r="H9" s="16" t="s">
        <v>15</v>
      </c>
      <c r="I9" s="17">
        <v>1</v>
      </c>
      <c r="J9" s="18">
        <v>500</v>
      </c>
      <c r="K9" s="19"/>
      <c r="L9" s="20" t="e">
        <f>#REF!*K9</f>
        <v>#REF!</v>
      </c>
      <c r="M9" s="21"/>
    </row>
    <row r="10" s="1" customFormat="1" ht="20.4" spans="1:13">
      <c r="A10" s="12">
        <v>8</v>
      </c>
      <c r="B10" s="13" t="s">
        <v>23</v>
      </c>
      <c r="C10" s="13" t="s">
        <v>13</v>
      </c>
      <c r="D10" s="14" t="s">
        <v>25</v>
      </c>
      <c r="E10" s="15"/>
      <c r="F10" s="13" t="s">
        <v>15</v>
      </c>
      <c r="G10" s="16" t="s">
        <v>15</v>
      </c>
      <c r="H10" s="16" t="s">
        <v>15</v>
      </c>
      <c r="I10" s="17">
        <v>1</v>
      </c>
      <c r="J10" s="18">
        <v>1200</v>
      </c>
      <c r="K10" s="19"/>
      <c r="L10" s="20" t="e">
        <f>#REF!*K10</f>
        <v>#REF!</v>
      </c>
      <c r="M10" s="21"/>
    </row>
    <row r="11" ht="20.4" spans="1:13">
      <c r="A11" s="12">
        <v>9</v>
      </c>
      <c r="B11" s="13" t="s">
        <v>26</v>
      </c>
      <c r="C11" s="13" t="s">
        <v>13</v>
      </c>
      <c r="D11" s="14" t="s">
        <v>27</v>
      </c>
      <c r="E11" s="15"/>
      <c r="F11" s="13" t="s">
        <v>15</v>
      </c>
      <c r="G11" s="16" t="s">
        <v>15</v>
      </c>
      <c r="H11" s="16" t="s">
        <v>15</v>
      </c>
      <c r="I11" s="17">
        <v>1</v>
      </c>
      <c r="J11" s="18">
        <v>500</v>
      </c>
      <c r="K11" s="19"/>
      <c r="L11" s="20" t="e">
        <f>#REF!*K11</f>
        <v>#REF!</v>
      </c>
      <c r="M11" s="21"/>
    </row>
    <row r="12" ht="20.4" spans="1:13">
      <c r="A12" s="12">
        <v>10</v>
      </c>
      <c r="B12" s="13" t="s">
        <v>28</v>
      </c>
      <c r="C12" s="13" t="s">
        <v>13</v>
      </c>
      <c r="D12" s="14" t="s">
        <v>29</v>
      </c>
      <c r="E12" s="15"/>
      <c r="F12" s="13" t="s">
        <v>15</v>
      </c>
      <c r="G12" s="16" t="s">
        <v>15</v>
      </c>
      <c r="H12" s="16" t="s">
        <v>15</v>
      </c>
      <c r="I12" s="17">
        <v>1</v>
      </c>
      <c r="J12" s="18">
        <v>1000</v>
      </c>
      <c r="K12" s="19"/>
      <c r="L12" s="20" t="e">
        <f>#REF!*K12</f>
        <v>#REF!</v>
      </c>
      <c r="M12" s="21"/>
    </row>
    <row r="13" ht="36" spans="1:13">
      <c r="A13" s="12">
        <v>11</v>
      </c>
      <c r="B13" s="13" t="s">
        <v>30</v>
      </c>
      <c r="C13" s="13" t="s">
        <v>13</v>
      </c>
      <c r="D13" s="14" t="s">
        <v>31</v>
      </c>
      <c r="E13" s="15"/>
      <c r="F13" s="13" t="s">
        <v>15</v>
      </c>
      <c r="G13" s="16" t="s">
        <v>15</v>
      </c>
      <c r="H13" s="16" t="s">
        <v>15</v>
      </c>
      <c r="I13" s="17">
        <v>1</v>
      </c>
      <c r="J13" s="18">
        <v>10</v>
      </c>
      <c r="K13" s="19"/>
      <c r="L13" s="20" t="e">
        <f>#REF!*K13</f>
        <v>#REF!</v>
      </c>
      <c r="M13" s="21"/>
    </row>
    <row r="14" ht="36" spans="1:13">
      <c r="A14" s="12">
        <v>12</v>
      </c>
      <c r="B14" s="13" t="s">
        <v>30</v>
      </c>
      <c r="C14" s="13" t="s">
        <v>13</v>
      </c>
      <c r="D14" s="14" t="s">
        <v>32</v>
      </c>
      <c r="E14" s="15"/>
      <c r="F14" s="13" t="s">
        <v>15</v>
      </c>
      <c r="G14" s="16" t="s">
        <v>15</v>
      </c>
      <c r="H14" s="16" t="s">
        <v>15</v>
      </c>
      <c r="I14" s="17">
        <v>1</v>
      </c>
      <c r="J14" s="18">
        <v>40</v>
      </c>
      <c r="K14" s="19"/>
      <c r="L14" s="20" t="e">
        <f>#REF!*K14</f>
        <v>#REF!</v>
      </c>
      <c r="M14" s="21"/>
    </row>
    <row r="15" ht="30" customHeight="1" spans="1:13">
      <c r="A15" s="22" t="s">
        <v>33</v>
      </c>
      <c r="B15" s="23"/>
      <c r="C15" s="23"/>
      <c r="D15" s="23"/>
      <c r="E15" s="23"/>
      <c r="F15" s="23"/>
      <c r="G15" s="23"/>
      <c r="H15" s="23"/>
      <c r="I15" s="23"/>
      <c r="J15" s="24"/>
      <c r="K15" s="25" t="s">
        <v>34</v>
      </c>
      <c r="L15" s="26" t="e">
        <f>SUM(L3:L14)</f>
        <v>#REF!</v>
      </c>
    </row>
    <row r="16" ht="30" customHeight="1" spans="1:13">
      <c r="A16" s="22"/>
      <c r="B16" s="23"/>
      <c r="C16" s="23"/>
      <c r="D16" s="23"/>
      <c r="E16" s="23"/>
      <c r="F16" s="23"/>
      <c r="G16" s="23"/>
      <c r="H16" s="23" t="s">
        <v>35</v>
      </c>
      <c r="I16" s="27" t="s">
        <v>36</v>
      </c>
      <c r="J16" s="23" t="s">
        <v>37</v>
      </c>
      <c r="K16" s="25" t="s">
        <v>34</v>
      </c>
      <c r="L16" s="28" t="e">
        <f>L15*I16</f>
        <v>#REF!</v>
      </c>
    </row>
    <row r="17" ht="26" customHeight="1" spans="1:12">
      <c r="A17" s="29"/>
      <c r="B17" s="30"/>
      <c r="C17" s="30"/>
      <c r="D17" s="30"/>
      <c r="E17" s="30"/>
      <c r="F17" s="30"/>
      <c r="G17" s="30"/>
      <c r="H17" s="30"/>
      <c r="I17" s="30"/>
      <c r="J17" s="31" t="s">
        <v>38</v>
      </c>
      <c r="K17" s="31"/>
      <c r="L17" s="32"/>
    </row>
    <row r="18" ht="118" customHeight="1" spans="1:12">
      <c r="A18" s="33" t="s">
        <v>39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4"/>
    </row>
    <row r="19" ht="14.5" customHeight="1" spans="1:12">
      <c r="A19" s="35"/>
      <c r="B19" s="36"/>
      <c r="C19" s="36"/>
      <c r="D19" s="36"/>
      <c r="E19" s="36"/>
      <c r="F19" s="36"/>
      <c r="G19" s="35"/>
      <c r="H19" s="35"/>
    </row>
    <row r="21" ht="17.6" spans="1:12">
      <c r="A21" s="37"/>
      <c r="B21" s="38"/>
      <c r="C21" s="38"/>
      <c r="D21" s="38"/>
      <c r="E21" s="38"/>
      <c r="F21" s="38"/>
    </row>
  </sheetData>
  <mergeCells count="16">
    <mergeCell ref="A1:L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A15:J15"/>
    <mergeCell ref="A18:L18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报价单 （月租）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zwz</cp:lastModifiedBy>
  <dcterms:created xsi:type="dcterms:W3CDTF">2017-04-01T18:02:00Z</dcterms:created>
  <dcterms:modified xsi:type="dcterms:W3CDTF">2026-05-27T23:27:19Z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2052-12.1.25895.25895</vt:lpwstr>
  </property>
  <property fmtid="{D5CDD505-2E9C-101B-9397-08002B2CF9AE}" pid="3" name="ICV">
    <vt:lpwstr>778C8A6F7480A28B570D176AA56E68F7_43</vt:lpwstr>
  </property>
  <property fmtid="{D5CDD505-2E9C-101B-9397-08002B2CF9AE}" pid="4" name="CalculationRule">
    <vt:i4>0</vt:i4>
  </property>
</Properties>
</file>