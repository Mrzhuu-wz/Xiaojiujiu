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1EFE3FD8-0414-4ED5-89A7-681BB9DAC444}" xr6:coauthVersionLast="47" xr6:coauthVersionMax="47" xr10:uidLastSave="{00000000-0000-0000-0000-000000000000}"/>
  <bookViews>
    <workbookView xWindow="-28656" yWindow="-2352" windowWidth="26760" windowHeight="18444" xr2:uid="{00000000-000D-0000-FFFF-FFFF00000000}"/>
  </bookViews>
  <sheets>
    <sheet name="报价单-订阅模式" sheetId="4" r:id="rId1"/>
    <sheet name="报价单-投资模式" sheetId="3" r:id="rId2"/>
    <sheet name="云脉PC版" sheetId="5" r:id="rId3"/>
    <sheet name="CTG-SASE" sheetId="6" r:id="rId4"/>
    <sheet name="云脉SDP" sheetId="7" r:id="rId5"/>
    <sheet name="功能说明"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4" l="1"/>
  <c r="I5" i="4" s="1"/>
  <c r="H13" i="4"/>
  <c r="I13" i="4" s="1"/>
  <c r="H14" i="4"/>
  <c r="I14" i="4" s="1"/>
  <c r="H15" i="4"/>
  <c r="I15" i="4" s="1"/>
  <c r="H16" i="4"/>
  <c r="I16" i="4" s="1"/>
  <c r="H17" i="4"/>
  <c r="I17" i="4" s="1"/>
  <c r="H18" i="4"/>
  <c r="I18" i="4" s="1"/>
  <c r="H19" i="4"/>
  <c r="I19" i="4" s="1"/>
  <c r="H21" i="4"/>
  <c r="I21" i="4" s="1"/>
  <c r="H4" i="4"/>
  <c r="I4" i="4" s="1"/>
  <c r="H6" i="4"/>
  <c r="I6" i="4" s="1"/>
  <c r="H7" i="4"/>
  <c r="I7" i="4" s="1"/>
  <c r="H8" i="4"/>
  <c r="I8" i="4" s="1"/>
  <c r="H9" i="4"/>
  <c r="I9" i="4" s="1"/>
  <c r="H10" i="4"/>
  <c r="I10" i="4" s="1"/>
  <c r="H11" i="4"/>
  <c r="I11" i="4" s="1"/>
  <c r="I3" i="7"/>
  <c r="I4" i="7"/>
  <c r="H12" i="4"/>
  <c r="I12" i="4" s="1"/>
  <c r="I5" i="5"/>
  <c r="I6" i="5"/>
  <c r="I7" i="5"/>
  <c r="H4" i="5"/>
  <c r="I4" i="5" s="1"/>
  <c r="H3" i="5"/>
  <c r="I3" i="5" s="1"/>
  <c r="I12" i="7"/>
  <c r="I10" i="7"/>
  <c r="I9" i="7"/>
  <c r="I8" i="7"/>
  <c r="E13" i="7" l="1"/>
  <c r="F15" i="7" s="1"/>
  <c r="H4" i="6"/>
  <c r="I4" i="6" s="1"/>
  <c r="H8" i="5"/>
  <c r="G8" i="3"/>
  <c r="G6" i="3"/>
  <c r="G5" i="3"/>
  <c r="D8" i="3"/>
  <c r="G6" i="6" l="1"/>
  <c r="G8" i="6"/>
  <c r="I8" i="5"/>
  <c r="I10" i="5" s="1"/>
  <c r="G24" i="4"/>
  <c r="G22" i="4"/>
  <c r="G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高超</author>
  </authors>
  <commentList>
    <comment ref="D13" authorId="0" shapeId="0" xr:uid="{C71029BF-02C8-4442-B72D-0DDA12B2EDF7}">
      <text>
        <r>
          <rPr>
            <sz val="9"/>
            <color indexed="81"/>
            <rFont val="宋体"/>
            <family val="3"/>
            <charset val="134"/>
          </rPr>
          <t>1000 授权以下 8 折
1001-2000授权 7 折
2001 授权及以上 5 折</t>
        </r>
      </text>
    </comment>
  </commentList>
</comments>
</file>

<file path=xl/sharedStrings.xml><?xml version="1.0" encoding="utf-8"?>
<sst xmlns="http://schemas.openxmlformats.org/spreadsheetml/2006/main" count="441" uniqueCount="214">
  <si>
    <t xml:space="preserve">中国电信-云脉SASE报价单 </t>
    <phoneticPr fontId="6" type="noConversion"/>
  </si>
  <si>
    <t>销售品名称</t>
  </si>
  <si>
    <t>规格</t>
  </si>
  <si>
    <t>收费标准</t>
  </si>
  <si>
    <t>数量</t>
  </si>
  <si>
    <t>总价（元）</t>
    <phoneticPr fontId="6" type="noConversion"/>
  </si>
  <si>
    <t>备注</t>
    <phoneticPr fontId="6" type="noConversion"/>
  </si>
  <si>
    <t>云脉SASE-10人基础版</t>
  </si>
  <si>
    <t>包含10个授权，功能包括：零信任访问授权、IT管理</t>
  </si>
  <si>
    <t>元/套</t>
    <phoneticPr fontId="6" type="noConversion"/>
  </si>
  <si>
    <t>包含10个授权，功能包括：零信任访问、网络访问隔离、IT管理、上网管控、防病毒、漏洞修复、威胁情报、终端安全防护、动态决策</t>
  </si>
  <si>
    <t>云脉SASE-10人旗舰版</t>
  </si>
  <si>
    <t>包含10个授权，功能包括：零信任访问、IT管理功能、防病毒、漏洞修复、上网管控、终端安全防护、扩展数据防泄露</t>
  </si>
  <si>
    <t>云脉SASE-网关节点授权</t>
  </si>
  <si>
    <t>包含1个网关节点授权，网关提供网络接入、策略执行等，可以根据办公区域的分布，配置私有化网关的数量，以提升网络质量</t>
    <phoneticPr fontId="6" type="noConversion"/>
  </si>
  <si>
    <t>云脉SASE-网络准入增值能力授权</t>
    <phoneticPr fontId="6" type="noConversion"/>
  </si>
  <si>
    <t>每套包含500个账号授权， 1 个准入Radius 节点授权</t>
    <phoneticPr fontId="6" type="noConversion"/>
  </si>
  <si>
    <t>云脉SASE-管控控制台授权</t>
    <phoneticPr fontId="6" type="noConversion"/>
  </si>
  <si>
    <t>控制中心部署在企业环境，策略配置、数据展示、运维管理、DLP引擎、身份认证等</t>
  </si>
  <si>
    <t>合计</t>
    <phoneticPr fontId="6" type="noConversion"/>
  </si>
  <si>
    <t>注：
*一次性提供对应数量的成品软件授权（税率 13%，含部署可能涉及私有化的POP等组件，以及3年维保和规则升级）
*提供交付部署服务支持，以及用户自有云上管理控制台
*到期后（第四年），按合同金额 15% 收取维保费用</t>
    <phoneticPr fontId="6" type="noConversion"/>
  </si>
  <si>
    <t>折扣</t>
  </si>
  <si>
    <t>总价
元/月</t>
  </si>
  <si>
    <t>总价
元/年</t>
  </si>
  <si>
    <t>云脉SASE VPN套餐-10人授权</t>
  </si>
  <si>
    <t>包含10个授权，功能包括：零信任访问、网络访问隔离</t>
  </si>
  <si>
    <t>元/月</t>
  </si>
  <si>
    <t>云脉SASE基础版套餐-10人授权</t>
  </si>
  <si>
    <t>包含10个授权，功能包括：零信任访问、网络访问隔离、IT管理、动态决策</t>
  </si>
  <si>
    <t>云脉SASE专业版套餐-10人授权</t>
  </si>
  <si>
    <t>包含10个授权，功能包括：零信任访问、网络访问隔离、IT管理、上网管控、防病毒、漏洞修复、威胁情报、动态决策</t>
  </si>
  <si>
    <t>云脉SASE企业版套餐-10人授权</t>
  </si>
  <si>
    <t>云脉SASE旗舰版套餐-10人授权</t>
  </si>
  <si>
    <t>包含10个授权，功能包括：零信任访问、网络访问隔离、IT管理、上网管控、防病毒、漏洞修复、威胁情报、终端安全防护、扩展数据防泄露、动态决策</t>
  </si>
  <si>
    <t>云脉SASE防病毒-10人授权</t>
  </si>
  <si>
    <t>包含10个授权，功能包括：防病毒、漏洞修复、IT管理</t>
    <phoneticPr fontId="6" type="noConversion"/>
  </si>
  <si>
    <t>云脉SASE终端管理10人授权</t>
  </si>
  <si>
    <t>包含10个授权，包含防病毒（漏洞修复、病毒查杀）、IT管理（设备管理、合规检测、软件管理、外设管理）</t>
    <phoneticPr fontId="6" type="noConversion"/>
  </si>
  <si>
    <t>云脉SASE EDR-10人授权</t>
  </si>
  <si>
    <t>包含10个授权，功能包括：防病毒、漏洞修复、威胁情报、终端安全防护、IT管理、动态决策</t>
  </si>
  <si>
    <t>云脉SASE扩展数据防泄露-10人授权</t>
  </si>
  <si>
    <t>包含10个授权，功能包括：扩展数据防泄露、IT管理</t>
  </si>
  <si>
    <t>云脉iDaaS身份管理-用户授权</t>
    <phoneticPr fontId="6" type="noConversion"/>
  </si>
  <si>
    <t>提供组织架构、账户全生命周期管理、应用接入实现单点登录等身份管理与身份安全能力</t>
    <phoneticPr fontId="6" type="noConversion"/>
  </si>
  <si>
    <t>云脉SASE扩展功能模块-10人企业门户</t>
  </si>
  <si>
    <t>包含10个Agentless企业门户服务授权，无需安装客户端即可安全访问企业内网应用</t>
  </si>
  <si>
    <t>云脉SASE-网络准入增值能力500授权</t>
  </si>
  <si>
    <t>包含500个网络准入授权，802.1x协议下的有线和WiFi网络准入服务（含1个准入radius节点授权）</t>
  </si>
  <si>
    <t>云脉SASE-身份认证授权</t>
  </si>
  <si>
    <t>身份模块部署在企业环境内，完成与企业身份系统的本地对接</t>
  </si>
  <si>
    <t>云脉SASE-DLP引擎授权</t>
  </si>
  <si>
    <t>数据防泄漏检测引擎部署在企业环境内，完成敏感数据的识别、检测和分析能力</t>
  </si>
  <si>
    <t>云脉SASE-管控控制台授权</t>
  </si>
  <si>
    <t>控制中心部署在企业环境，策略配置、数据展示、运维管理、DLP引擎、身份认证等</t>
    <phoneticPr fontId="6" type="noConversion"/>
  </si>
  <si>
    <t>云脉SASE-连接器软件调测费</t>
  </si>
  <si>
    <t>包含一个局址的连接器软件调测服务</t>
  </si>
  <si>
    <t>元/局址</t>
  </si>
  <si>
    <t>部署实施费</t>
  </si>
  <si>
    <t>如涉及准入radius部署，网关节点、身份认证、DLP引擎、管控控制台等模块本地化部署，安装调式和部署交付工作</t>
  </si>
  <si>
    <t>元/人/天</t>
    <phoneticPr fontId="6" type="noConversion"/>
  </si>
  <si>
    <t>元/年</t>
    <phoneticPr fontId="6" type="noConversion"/>
  </si>
  <si>
    <t>三年总价</t>
    <phoneticPr fontId="6" type="noConversion"/>
  </si>
  <si>
    <t>云镜EDR-标准版（SaaS）</t>
    <phoneticPr fontId="6" type="noConversion"/>
  </si>
  <si>
    <t>支持功能：资产清点、安全巡检、漏洞管理、病毒检测与防护、挖矿防御、勒索行为防御、桌面管理（含外设管控、进程管控、违规外联管控、远程协助、广告拦截、软件拦截、资产信息采集）、数据防泄漏（屏幕水印）</t>
    <phoneticPr fontId="6" type="noConversion"/>
  </si>
  <si>
    <t>元/端/月</t>
    <phoneticPr fontId="6" type="noConversion"/>
  </si>
  <si>
    <t>云镜EDR-旗舰版（SaaS）</t>
    <phoneticPr fontId="6" type="noConversion"/>
  </si>
  <si>
    <t>支持功能：功能包括资产清点、安全巡检、漏洞管理、病毒检测与防护、挖矿防御、勒索行为防御、桌面管理（含外设管控、进程管控、违规外联管控、远程协助、广告拦截、软件拦截、资产信息采集）、数据防泄漏（屏幕水印）
终端行为采集、入侵防御（异常登录、防端口扫描、防暴力破解、攻击步骤序列图）、联动响应、操作系统日志采集</t>
    <phoneticPr fontId="6" type="noConversion"/>
  </si>
  <si>
    <t>云镜EDR-管理平台（私有化）</t>
    <phoneticPr fontId="6" type="noConversion"/>
  </si>
  <si>
    <t>对客户端进行统一集中管控与安全事件可视化展示。</t>
    <phoneticPr fontId="6" type="noConversion"/>
  </si>
  <si>
    <t>元/套/年</t>
    <phoneticPr fontId="6" type="noConversion"/>
  </si>
  <si>
    <t>云镜EDR-标准版（私有化）</t>
    <phoneticPr fontId="6" type="noConversion"/>
  </si>
  <si>
    <t>元/端/年</t>
    <phoneticPr fontId="6" type="noConversion"/>
  </si>
  <si>
    <t>云镜EDR-旗舰版（私有化）</t>
    <phoneticPr fontId="6" type="noConversion"/>
  </si>
  <si>
    <t>N/A</t>
    <phoneticPr fontId="6" type="noConversion"/>
  </si>
  <si>
    <t xml:space="preserve">中国电信-云脉CTG-SASE报价单 </t>
    <phoneticPr fontId="6" type="noConversion"/>
  </si>
  <si>
    <t>CTG SASE 企业版</t>
    <phoneticPr fontId="6" type="noConversion"/>
  </si>
  <si>
    <t>包含1个授权，功能包括:零信任访问、IT管理(设备管理外设管理/软件管理)、基础终端安全(杀毒、漏洞修复)</t>
    <phoneticPr fontId="6" type="noConversion"/>
  </si>
  <si>
    <t>CTG SASE 高级版</t>
    <phoneticPr fontId="6" type="noConversion"/>
  </si>
  <si>
    <t>包含1个授权，功能包括:零信任访问、IT管理(设备管理外设管理/软件管理)、基础终端安全(杀毒、漏洞修复)数据安全能力、高级安全防护(EDR/NDR)</t>
    <phoneticPr fontId="6" type="noConversion"/>
  </si>
  <si>
    <t>不含跨境加速</t>
    <phoneticPr fontId="6" type="noConversion"/>
  </si>
  <si>
    <t xml:space="preserve">中国电信-云脉SDP报价单 </t>
    <phoneticPr fontId="6" type="noConversion"/>
  </si>
  <si>
    <t>服务方式</t>
  </si>
  <si>
    <t>规格功能</t>
  </si>
  <si>
    <t>最低折扣</t>
  </si>
  <si>
    <t>数量</t>
    <phoneticPr fontId="6" type="noConversion"/>
  </si>
  <si>
    <t>价格</t>
    <phoneticPr fontId="6" type="noConversion"/>
  </si>
  <si>
    <t>SD-WAN套餐</t>
    <phoneticPr fontId="6" type="noConversion"/>
  </si>
  <si>
    <t>安全组网接入</t>
  </si>
  <si>
    <t>1M</t>
  </si>
  <si>
    <t>仅包含大陆内部接入，根据带宽大小计费，价格为阶梯定价。单价 = 订购数量 ×（第一阶梯单价 × 第一阶梯用量 + 第二阶梯单价 × 第二阶梯用量 + 第三阶梯单价 × 第三阶梯用量）,带宽以整数计</t>
  </si>
  <si>
    <t>[5M，20M]：40元/M/月
(20M，100M]：30元/M/月
100M以上：20元/M/月</t>
  </si>
  <si>
    <t>基础版网关接入</t>
  </si>
  <si>
    <t>1个</t>
  </si>
  <si>
    <t>带宽上限1000M，内存2+16G，具备WiFi接入能力</t>
  </si>
  <si>
    <t>标准版网关接入</t>
  </si>
  <si>
    <t>带宽上限1000M，内存4+32G，具备4G、WiFi接入能力</t>
  </si>
  <si>
    <t>企业版网关接入</t>
  </si>
  <si>
    <t>带宽上限1000M，内存8+64G，具备4G/5G、WiFi接入能力</t>
  </si>
  <si>
    <t>SDP私有化</t>
    <phoneticPr fontId="6" type="noConversion"/>
  </si>
  <si>
    <t>经济版网关</t>
  </si>
  <si>
    <t>提供分支间安全组网，包含1年维保</t>
  </si>
  <si>
    <t>一次性</t>
  </si>
  <si>
    <t>专业版网关</t>
  </si>
  <si>
    <t>提供分支间安全组网，支持终端零信任接入、网络隐身、应用访问控制等功能，包含1年维保</t>
  </si>
  <si>
    <t>私有化套餐</t>
  </si>
  <si>
    <t>包含1个专业版网关，50个终端授权，提供用户、网关、策略、权限等集中配置管理，零信任接入认证和细粒度应用访问控制，包含1年维保</t>
  </si>
  <si>
    <t>终端授权</t>
  </si>
  <si>
    <t>10个</t>
  </si>
  <si>
    <t>包含10个终端授权，包含1年维保</t>
  </si>
  <si>
    <t>升级维保</t>
  </si>
  <si>
    <t>/</t>
  </si>
  <si>
    <t>软件升级、技术支持和维保服务</t>
  </si>
  <si>
    <t>每年维保按合同金额的20%计费</t>
  </si>
  <si>
    <t>元/年</t>
  </si>
  <si>
    <t>定制化开发</t>
  </si>
  <si>
    <t>提供基于用户需求的个性化功能定制</t>
  </si>
  <si>
    <t>元/人/天</t>
  </si>
  <si>
    <t>默认含一年维保，第二年起每年维保费</t>
    <phoneticPr fontId="6" type="noConversion"/>
  </si>
  <si>
    <t>最低2折</t>
    <phoneticPr fontId="6" type="noConversion"/>
  </si>
  <si>
    <t>1.客户端200点以上，管理平台可免费；
2.私有化最低起租周期一年，最少客户端50个，三年及以上管理平台免费；　
3.每增加100个端，折扣降低0.5折扣，最低2折优惠；</t>
    <phoneticPr fontId="6" type="noConversion"/>
  </si>
  <si>
    <t>序号</t>
  </si>
  <si>
    <t>功能大类</t>
  </si>
  <si>
    <t>功能点</t>
  </si>
  <si>
    <t>功能描述</t>
  </si>
  <si>
    <t>基础版</t>
  </si>
  <si>
    <t>专业版</t>
  </si>
  <si>
    <t>企业版</t>
  </si>
  <si>
    <t>旗舰版</t>
  </si>
  <si>
    <t>防病毒</t>
  </si>
  <si>
    <t>防泄漏</t>
  </si>
  <si>
    <t>EDR</t>
  </si>
  <si>
    <t>终端管理</t>
  </si>
  <si>
    <t>零信任
网络访问</t>
  </si>
  <si>
    <t>身份认证</t>
  </si>
  <si>
    <t>根据用户账号、密码、口令、终端环境基线属性等信息对用户身份进行实时的认证；
支持多种身份接入协议；支持多因素身份认证；支持单点登录有权限用户在约定期内无需为每个应用单独做身份认证</t>
  </si>
  <si>
    <t>√</t>
  </si>
  <si>
    <t>应用管理及
访问控制</t>
  </si>
  <si>
    <t>对内部的应用进行盘点、发现，并配置对应访问策略，支持 URL应用的权限配置与控制，包括优先级、生效时间等</t>
  </si>
  <si>
    <t>访问控制</t>
  </si>
  <si>
    <t>为应用系统配置基于不同用户身份的访问权限，基于信任评估结果实现访问的动态控制，实现不同身份登录的访问控制，支持基于时间的访问控制列表，可在某一时间段内实现允许/阻止访问策略</t>
  </si>
  <si>
    <t>应用管控</t>
  </si>
  <si>
    <t>实现全面审计管控应用的行为，并支持在应用中加入水印，限制应用的敏感数据下载权限</t>
  </si>
  <si>
    <t>日志审计</t>
  </si>
  <si>
    <t>支持用户身份、设备、应用、时间、访问日志、策略等进行记录与管理，方便对各类访问数据进行审计</t>
  </si>
  <si>
    <t>零信任访问互联网SaaS应用</t>
  </si>
  <si>
    <t>支持通过零信任网络访问互联网SaaS应用，对于具备源IP白名单功能的SaaS应用可以限定仅安装了零信任客户端的终端可以访问。</t>
  </si>
  <si>
    <t>权限智能梳理</t>
  </si>
  <si>
    <t>支持根据组织架构里的部门、自定义用户组以及用户访问应用的情况自动梳理访问权限基线并推荐访问控制策略。
支持配置访问权限梳理策略：单个用户在指定时间内访问应用或应用组超过指定的次数，部门及用户组访问应用或应用组的人数占总人数的比例超过指定值。</t>
  </si>
  <si>
    <t>应用水印</t>
  </si>
  <si>
    <t>无需改造应用即可对指定应用开启水印，员工访问应用时将展示水印信息。</t>
  </si>
  <si>
    <t>可信进程</t>
  </si>
  <si>
    <t>支持发现并上报用户终端所有进程，支持标记常见攻击工具、孤立进程以及未签名进程，支持把已知进程添加为可信进程，支持以可信进程作为访问控制策略的判定条件之一。</t>
  </si>
  <si>
    <t>4层网络访问日志</t>
  </si>
  <si>
    <t>支持查看终端访问网络的4层日志，日志须包含以下字段：用户身份、所属部门、设备身份（如设备ID）、访问时间、源IP、源端口、目的IP、目的端口、协议、请求字节数、响应字节数、应用、进程、命中的网络访问策略、策略执行的结果（允许访问或禁止访问）；支持至少5个字段组合搜索日志。</t>
  </si>
  <si>
    <t>7层应用访问日志</t>
  </si>
  <si>
    <t>支持查看终端访问应用的7层日志，日志须包含以下字段：用户身份、所属部门、访问时间、源IP、源端口、目的IP、目的域名、目的端口、协议、应用名称、命中的网络访问策略、策略执行的结果（允许访问或禁止访问）、请求详细信息（至少包括请求方法、Host、Referer、User-Agent、Query-String）、响应详细信息（至少包括Content-Encoding、Location、响应码）；支持至少5个字段组合搜索日志。</t>
  </si>
  <si>
    <t>网络访问隔离</t>
  </si>
  <si>
    <t>根据员工设备的内网连接状态和所处网络区域限制应用访问，默认禁止访问【应用管理】之外的所有应用，支持放行特定互联网应用和本地应用，适用于保护企业内网安全、减少数据泄露风险的场景。</t>
  </si>
  <si>
    <t>动态策略引擎</t>
  </si>
  <si>
    <t>动态决策</t>
  </si>
  <si>
    <t>支持在零信任网络访问过程中，对Windows及macOS终端进行动态评估、持续验证，包括但不限于账号异常（闲置账号登录、异地登录、短时间多地登录、同一终端多个账号登录）、位置异常（接入的网络位置、公网IP所在的国家和省市）、安全风险状况（存在病毒、漏洞；访问威胁域名；扫描内网、被远程控制、异常添加定时任务、运行黑客工具、间接命令执行、暴力破解账号密码、攻击内网应用、多次访问无权限应用、命令行操作Windows管理器、存在隐藏账号）、数据安全风险状况（大量外发敏感数据、异常上传代码到非公司代码仓库），当命中动态检测策略时，可以动态处置，处置方式包括观察、二次认证、禁止访问内网应用，以降低安全风险。</t>
  </si>
  <si>
    <t>IT 管理</t>
  </si>
  <si>
    <t>终端统一管理</t>
  </si>
  <si>
    <t>对员工终端进行管理，支持Mac、Windows、Android、IOS 等终端设备管理，包括资产盘点、在线情况、挂失等能力</t>
  </si>
  <si>
    <t>软件分发、安装</t>
  </si>
  <si>
    <t>通过终端管控实现特定软件分发、安装等功能</t>
  </si>
  <si>
    <t>软件市场</t>
  </si>
  <si>
    <t>支持企业自己上传相关白名单软件，规避下载源风险</t>
  </si>
  <si>
    <t>盗版软件检测</t>
  </si>
  <si>
    <t>支持 Windows、MacOS 主流商业软件的盗版检测能力</t>
  </si>
  <si>
    <t>外设管控</t>
  </si>
  <si>
    <t>支持管控常见外设如U盘、移动硬盘（不支持）、手机、平板、光驱、蓝牙、打印机、USB无线网卡、无线热点，macOS环境下还应支持管控隔空投送（AirDrop）通道</t>
  </si>
  <si>
    <t>合规检测</t>
  </si>
  <si>
    <t>通过策略配置可对 Mac、Windows终端进行磁盘加密、屏保、违规软件、必装软件等内容进行合规检测</t>
  </si>
  <si>
    <t>安全防护</t>
  </si>
  <si>
    <t>上网行为管理</t>
  </si>
  <si>
    <t>对上网行为进行管理，可支持网站分类、自定义网址访问记录与控制（传统安全厂商需单独的行为管理硬件）</t>
  </si>
  <si>
    <t>杀毒软件</t>
  </si>
  <si>
    <t>支持企业对终端进行杀毒管理</t>
  </si>
  <si>
    <t>漏洞修复</t>
  </si>
  <si>
    <t>对终端的漏洞进行分析并支持修复功能</t>
  </si>
  <si>
    <t>威胁情报威
胁检测</t>
  </si>
  <si>
    <t>对域名进行情报管理与分析，有效管理企业员工访问相关域名，规避风险</t>
  </si>
  <si>
    <t>威胁检测与响应</t>
  </si>
  <si>
    <t>通过云端威胁情报、机器学习、异常行为分析、 攻击指示器等方式，主动发现来自外部或内部的安全威胁</t>
  </si>
  <si>
    <t>数据安全</t>
  </si>
  <si>
    <t>敏感数据</t>
  </si>
  <si>
    <t>对企业敏感数据进行识别、分类分级</t>
  </si>
  <si>
    <t>策略中心</t>
  </si>
  <si>
    <t>对敏感数据识别、审计、 告警、拦截等策略的配置中心</t>
  </si>
  <si>
    <t>数据外发审计</t>
  </si>
  <si>
    <t>支持对网页邮箱（QQ企业邮箱、阿里企业邮箱、189邮箱、126邮箱等）外发敏感数据的行为进行审计，审计内容应包括发件人、收件人、抄送、密送、邮件主题及正文。</t>
  </si>
  <si>
    <t>数据地图</t>
  </si>
  <si>
    <t>通过企业全局的视角，全面的识别、分析企业内的敏感数据分布、分类分级和流转的情况</t>
  </si>
  <si>
    <t>调查审计</t>
  </si>
  <si>
    <t>将数据泄露风险行为详细记录，方便后续分析与取证</t>
  </si>
  <si>
    <t>数据外发溯源取证</t>
  </si>
  <si>
    <t>支持对用户从敏感应用下载文件开始，进行编辑、重命名、修改后缀、剪切、拷贝、加密压缩并外发的全链路跟踪溯源。</t>
  </si>
  <si>
    <t>文件水印</t>
  </si>
  <si>
    <t>支持对图片(JPG、JPEG、PNG、PSD)，办公文档(DOC、XLS、PPT、PDF), 音视频(WAV、MP3、OGG、AAC、FLAC)文件植入暗水印，在不影响文件正常使用的前提下实现文件溯源。</t>
  </si>
  <si>
    <t>支持查看所有敏感数据在所有终端分布情况，提供终端数据资产全局可视化能力，可根据数据敏感等级、数据分类、文件类型进行筛选查看。
支持一键搜索用户，快速了解其终端设备上敏感数据分布情况，包括数据分级、文件类型、文件路径、所在设备以及最近发现时间。
支持一键搜索文件，快速了解该文件在组织内的分布情况，包括数据敏感等级、所在设备、设备所属用户、文件路径以及最近发现时间。</t>
  </si>
  <si>
    <t>风险员工识别和分析</t>
  </si>
  <si>
    <t>支持通过UEBA技术自动识别风险用户，包括高危及可疑人员，并可出具详细的数据安全风险报告，报告应具备以下内容：本地敏感数据数量、敏感数据类型分布、敏感数据累积趋势、敏感数据下载情况、数据外发事件数、外发敏感数据文件、外发通道分布。</t>
  </si>
  <si>
    <t>数据检测响应（DDR）</t>
  </si>
  <si>
    <t>支持在检测到数据安全风险时，强制用户二次认证，或禁止用户访问内网应用。</t>
  </si>
  <si>
    <t>支持检测并阻断攻击者利用盗取的账号密码访问内网应用并下载数据的行为。</t>
  </si>
  <si>
    <t>自适应文件存储</t>
  </si>
  <si>
    <t>支持自动根据数据来源IP所属国家/地区决定把提取的外发敏感数据存储到哪里，以满足数据来源国家数据安全相关法律法规要求。</t>
  </si>
  <si>
    <t>开放能力</t>
  </si>
  <si>
    <t>提供 DLP 开放能力，支持用户其他业务系统调用云脉 DLP 接口，实现其他业务系统中的敏感数据识别及水印标记</t>
  </si>
  <si>
    <t>网络准入</t>
  </si>
  <si>
    <t>支持安装网络准入客户端的终端基于802.1X协议，通过Radius认证，与企业现有身份系统打通，实现企业WIFI、有线网络接入管理，对企业网络进行细粒度管控，满足企业网络准入相关合规要求。</t>
  </si>
  <si>
    <t>注：
1.准入模块需与功能套餐组合购买，仅购买防病毒不可使用
2.准入模块涉及私有化部署部分，500账号起售</t>
  </si>
  <si>
    <r>
      <t>VPN</t>
    </r>
    <r>
      <rPr>
        <b/>
        <sz val="16"/>
        <color rgb="FF000000"/>
        <rFont val="宋体-简"/>
        <charset val="134"/>
      </rPr>
      <t>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</si>
</sst>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0_ "/>
    <numFmt numFmtId="177" formatCode="#,##0.0_ "/>
    <numFmt numFmtId="178" formatCode="_ * #,##0_ ;_ * \-#,##0_ ;_ * &quot;-&quot;??_ ;_ @_ "/>
  </numFmts>
  <fonts count="28">
    <font>
      <sz val="10"/>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6"/>
      <color theme="1"/>
      <name val="Noto Sans SC"/>
      <family val="2"/>
      <charset val="134"/>
    </font>
    <font>
      <sz val="9"/>
      <name val="等线"/>
      <family val="3"/>
      <charset val="134"/>
      <scheme val="minor"/>
    </font>
    <font>
      <b/>
      <sz val="11"/>
      <color rgb="FF000000"/>
      <name val="Noto Sans SC"/>
      <family val="2"/>
      <charset val="134"/>
    </font>
    <font>
      <b/>
      <sz val="11"/>
      <color theme="1"/>
      <name val="Noto Sans SC"/>
      <family val="2"/>
      <charset val="134"/>
    </font>
    <font>
      <sz val="11"/>
      <color rgb="FF000000"/>
      <name val="Noto Sans SC"/>
      <family val="2"/>
      <charset val="134"/>
    </font>
    <font>
      <sz val="11"/>
      <name val="Noto Sans SC"/>
      <family val="2"/>
      <charset val="134"/>
    </font>
    <font>
      <b/>
      <sz val="12"/>
      <color rgb="FF000000"/>
      <name val="Noto Sans SC"/>
      <family val="2"/>
      <charset val="134"/>
    </font>
    <font>
      <sz val="11"/>
      <color theme="1"/>
      <name val="Noto Sans SC"/>
      <family val="2"/>
      <charset val="134"/>
    </font>
    <font>
      <b/>
      <sz val="16"/>
      <color theme="1"/>
      <name val="Times New Roman"/>
      <family val="1"/>
    </font>
    <font>
      <b/>
      <sz val="14"/>
      <color rgb="FFFF0000"/>
      <name val="微软雅黑"/>
      <family val="2"/>
      <charset val="134"/>
    </font>
    <font>
      <sz val="9"/>
      <color indexed="81"/>
      <name val="宋体"/>
      <family val="3"/>
      <charset val="134"/>
    </font>
    <font>
      <sz val="10"/>
      <color theme="1"/>
      <name val="等线"/>
      <family val="2"/>
      <scheme val="minor"/>
    </font>
    <font>
      <b/>
      <sz val="14"/>
      <color rgb="FFFF0000"/>
      <name val="仿宋"/>
      <family val="3"/>
      <charset val="134"/>
    </font>
    <font>
      <sz val="11"/>
      <color rgb="FF000000"/>
      <name val="Arial"/>
      <family val="2"/>
    </font>
    <font>
      <sz val="15"/>
      <name val="微软雅黑"/>
      <family val="2"/>
      <charset val="134"/>
    </font>
    <font>
      <sz val="15"/>
      <color rgb="FF000000"/>
      <name val="微软雅黑"/>
      <family val="2"/>
      <charset val="134"/>
    </font>
    <font>
      <sz val="22"/>
      <color rgb="FF000000"/>
      <name val="Arial"/>
      <family val="2"/>
    </font>
    <font>
      <sz val="11"/>
      <color rgb="FF000000"/>
      <name val="微软雅黑"/>
      <family val="2"/>
      <charset val="134"/>
    </font>
    <font>
      <sz val="15"/>
      <color rgb="FFFF0000"/>
      <name val="微软雅黑"/>
      <family val="2"/>
      <charset val="134"/>
    </font>
    <font>
      <sz val="11"/>
      <color rgb="FF000000"/>
      <name val="等线"/>
      <family val="3"/>
      <charset val="134"/>
      <scheme val="minor"/>
    </font>
    <font>
      <b/>
      <sz val="14"/>
      <name val="微软雅黑"/>
      <family val="2"/>
      <charset val="134"/>
    </font>
    <font>
      <b/>
      <sz val="15"/>
      <name val="微软雅黑"/>
      <family val="2"/>
      <charset val="134"/>
    </font>
    <font>
      <b/>
      <sz val="16"/>
      <color rgb="FF000000"/>
      <name val="宋体-简"/>
      <charset val="134"/>
    </font>
  </fonts>
  <fills count="13">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rgb="FFDED0E9"/>
        <bgColor indexed="64"/>
      </patternFill>
    </fill>
    <fill>
      <patternFill patternType="solid">
        <fgColor rgb="FF95E3E9"/>
        <bgColor indexed="64"/>
      </patternFill>
    </fill>
    <fill>
      <patternFill patternType="solid">
        <fgColor rgb="FF87E99A"/>
        <bgColor indexed="64"/>
      </patternFill>
    </fill>
    <fill>
      <patternFill patternType="solid">
        <fgColor rgb="FFC8E969"/>
        <bgColor indexed="64"/>
      </patternFill>
    </fill>
    <fill>
      <patternFill patternType="solid">
        <fgColor theme="6" tint="0.39997558519241921"/>
        <bgColor indexed="64"/>
      </patternFill>
    </fill>
    <fill>
      <patternFill patternType="solid">
        <fgColor rgb="FFE9B663"/>
        <bgColor indexed="64"/>
      </patternFill>
    </fill>
    <fill>
      <patternFill patternType="solid">
        <fgColor rgb="FFE9775B"/>
        <bgColor indexed="64"/>
      </patternFill>
    </fill>
    <fill>
      <patternFill patternType="solid">
        <fgColor theme="9" tint="0.39997558519241921"/>
        <bgColor indexed="64"/>
      </patternFill>
    </fill>
    <fill>
      <patternFill patternType="solid">
        <fgColor theme="4"/>
        <bgColor indexed="64"/>
      </patternFill>
    </fill>
  </fills>
  <borders count="19">
    <border>
      <left/>
      <right/>
      <top/>
      <bottom/>
      <diagonal/>
    </border>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9">
    <xf numFmtId="0" fontId="0" fillId="0" borderId="0" applyNumberFormat="0" applyFont="0" applyFill="0" applyBorder="0" applyProtection="0"/>
    <xf numFmtId="0" fontId="4" fillId="0" borderId="1"/>
    <xf numFmtId="0" fontId="3" fillId="0" borderId="1"/>
    <xf numFmtId="0" fontId="16" fillId="0" borderId="1" applyNumberFormat="0" applyFont="0" applyFill="0" applyBorder="0" applyProtection="0"/>
    <xf numFmtId="0" fontId="2" fillId="0" borderId="1"/>
    <xf numFmtId="43" fontId="2" fillId="0" borderId="1" applyFont="0" applyFill="0" applyBorder="0" applyAlignment="0" applyProtection="0">
      <alignment vertical="center"/>
    </xf>
    <xf numFmtId="9" fontId="16" fillId="0" borderId="0" applyFont="0" applyFill="0" applyBorder="0" applyAlignment="0" applyProtection="0">
      <alignment vertical="center"/>
    </xf>
    <xf numFmtId="0" fontId="1" fillId="0" borderId="1"/>
    <xf numFmtId="0" fontId="18" fillId="0" borderId="1"/>
  </cellStyleXfs>
  <cellXfs count="123">
    <xf numFmtId="0" fontId="0" fillId="0" borderId="0" xfId="0" applyAlignment="1">
      <alignment vertical="center"/>
    </xf>
    <xf numFmtId="176" fontId="11" fillId="0" borderId="3" xfId="1" applyNumberFormat="1" applyFont="1" applyBorder="1" applyAlignment="1">
      <alignment horizontal="center" vertical="center" wrapText="1"/>
    </xf>
    <xf numFmtId="0" fontId="4" fillId="0" borderId="1" xfId="1"/>
    <xf numFmtId="0" fontId="7" fillId="2" borderId="3" xfId="1" applyFont="1" applyFill="1" applyBorder="1" applyAlignment="1">
      <alignment horizontal="center" vertical="center" wrapText="1"/>
    </xf>
    <xf numFmtId="0" fontId="8" fillId="2" borderId="3" xfId="1" applyFont="1" applyFill="1" applyBorder="1" applyAlignment="1">
      <alignment horizontal="center" vertical="center" wrapText="1"/>
    </xf>
    <xf numFmtId="0" fontId="9" fillId="0" borderId="3" xfId="1" applyFont="1" applyBorder="1" applyAlignment="1">
      <alignment horizontal="justify" vertical="center" wrapText="1"/>
    </xf>
    <xf numFmtId="176" fontId="9" fillId="0" borderId="3" xfId="1" applyNumberFormat="1" applyFont="1" applyBorder="1" applyAlignment="1">
      <alignment horizontal="center" vertical="center" wrapText="1"/>
    </xf>
    <xf numFmtId="0" fontId="9" fillId="0" borderId="3" xfId="1" applyFont="1" applyBorder="1" applyAlignment="1">
      <alignment horizontal="center" vertical="center" wrapText="1"/>
    </xf>
    <xf numFmtId="0" fontId="9" fillId="0" borderId="3" xfId="1" applyFont="1" applyBorder="1" applyAlignment="1">
      <alignment vertical="center" wrapText="1"/>
    </xf>
    <xf numFmtId="0" fontId="9" fillId="0" borderId="3" xfId="1" applyFont="1" applyBorder="1" applyAlignment="1">
      <alignment horizontal="left" vertical="center" wrapText="1"/>
    </xf>
    <xf numFmtId="0" fontId="10" fillId="0" borderId="3" xfId="1" applyFont="1" applyBorder="1" applyAlignment="1">
      <alignment horizontal="justify" vertical="center" wrapText="1"/>
    </xf>
    <xf numFmtId="0" fontId="10" fillId="0" borderId="3" xfId="1" applyFont="1" applyBorder="1" applyAlignment="1">
      <alignment vertical="center" wrapText="1"/>
    </xf>
    <xf numFmtId="0" fontId="8" fillId="0" borderId="3" xfId="1" applyFont="1" applyBorder="1" applyAlignment="1">
      <alignment horizontal="center"/>
    </xf>
    <xf numFmtId="0" fontId="4" fillId="0" borderId="1" xfId="1" applyAlignment="1">
      <alignment wrapText="1"/>
    </xf>
    <xf numFmtId="0" fontId="13" fillId="0" borderId="1" xfId="1" applyFont="1" applyAlignment="1">
      <alignment vertical="center"/>
    </xf>
    <xf numFmtId="0" fontId="10" fillId="0" borderId="3" xfId="1" applyFont="1" applyBorder="1" applyAlignment="1">
      <alignment horizontal="center" vertical="center" wrapText="1"/>
    </xf>
    <xf numFmtId="176" fontId="10" fillId="0" borderId="3" xfId="1" applyNumberFormat="1" applyFont="1" applyBorder="1" applyAlignment="1">
      <alignment horizontal="center" vertical="center" wrapText="1"/>
    </xf>
    <xf numFmtId="0" fontId="9" fillId="0" borderId="3" xfId="0" applyFont="1" applyBorder="1" applyAlignment="1">
      <alignment horizontal="center" vertical="center" wrapText="1"/>
    </xf>
    <xf numFmtId="176" fontId="9" fillId="0" borderId="3" xfId="0" applyNumberFormat="1" applyFont="1" applyBorder="1" applyAlignment="1">
      <alignment horizontal="center" vertical="center" wrapText="1"/>
    </xf>
    <xf numFmtId="0" fontId="7" fillId="2" borderId="3" xfId="0" applyFont="1" applyFill="1" applyBorder="1" applyAlignment="1">
      <alignment horizontal="center" vertical="center" wrapText="1"/>
    </xf>
    <xf numFmtId="0" fontId="9" fillId="0" borderId="3" xfId="0" applyFont="1" applyBorder="1" applyAlignment="1">
      <alignment vertical="center" wrapText="1"/>
    </xf>
    <xf numFmtId="0" fontId="3" fillId="0" borderId="1" xfId="2"/>
    <xf numFmtId="0" fontId="13" fillId="0" borderId="1" xfId="2" applyFont="1" applyAlignment="1">
      <alignment vertical="center"/>
    </xf>
    <xf numFmtId="0" fontId="7" fillId="2" borderId="3" xfId="2" applyFont="1" applyFill="1" applyBorder="1" applyAlignment="1">
      <alignment horizontal="center" vertical="center" wrapText="1"/>
    </xf>
    <xf numFmtId="0" fontId="8" fillId="2" borderId="3" xfId="2" applyFont="1" applyFill="1" applyBorder="1" applyAlignment="1">
      <alignment horizontal="center" vertical="center" wrapText="1"/>
    </xf>
    <xf numFmtId="0" fontId="9" fillId="0" borderId="3" xfId="2" applyFont="1" applyBorder="1" applyAlignment="1">
      <alignment horizontal="center" vertical="center" wrapText="1"/>
    </xf>
    <xf numFmtId="0" fontId="9" fillId="0" borderId="3" xfId="2" applyFont="1" applyBorder="1" applyAlignment="1">
      <alignment vertical="center" wrapText="1"/>
    </xf>
    <xf numFmtId="176" fontId="9" fillId="0" borderId="3" xfId="2" applyNumberFormat="1" applyFont="1" applyBorder="1" applyAlignment="1">
      <alignment horizontal="center" vertical="center" wrapText="1"/>
    </xf>
    <xf numFmtId="176" fontId="9" fillId="0" borderId="3" xfId="3" applyNumberFormat="1" applyFont="1" applyBorder="1" applyAlignment="1">
      <alignment horizontal="center" vertical="center" wrapText="1"/>
    </xf>
    <xf numFmtId="177" fontId="9" fillId="0" borderId="3" xfId="2" applyNumberFormat="1" applyFont="1" applyBorder="1" applyAlignment="1">
      <alignment horizontal="center" vertical="center" wrapText="1"/>
    </xf>
    <xf numFmtId="0" fontId="8" fillId="0" borderId="3" xfId="2" applyFont="1" applyBorder="1" applyAlignment="1">
      <alignment horizontal="center"/>
    </xf>
    <xf numFmtId="0" fontId="3" fillId="0" borderId="1" xfId="2" applyAlignment="1">
      <alignment wrapText="1"/>
    </xf>
    <xf numFmtId="0" fontId="2" fillId="0" borderId="1" xfId="4"/>
    <xf numFmtId="0" fontId="11" fillId="2" borderId="3" xfId="4" applyFont="1" applyFill="1" applyBorder="1" applyAlignment="1">
      <alignment horizontal="center" vertical="center" wrapText="1"/>
    </xf>
    <xf numFmtId="0" fontId="9" fillId="0" borderId="3" xfId="4" applyFont="1" applyBorder="1" applyAlignment="1">
      <alignment horizontal="justify" vertical="center" wrapText="1"/>
    </xf>
    <xf numFmtId="176" fontId="9" fillId="0" borderId="3" xfId="4" applyNumberFormat="1" applyFont="1" applyBorder="1" applyAlignment="1">
      <alignment horizontal="center" vertical="center" wrapText="1"/>
    </xf>
    <xf numFmtId="0" fontId="12" fillId="0" borderId="3" xfId="4" applyFont="1" applyBorder="1" applyAlignment="1">
      <alignment horizontal="center" vertical="center"/>
    </xf>
    <xf numFmtId="0" fontId="12" fillId="0" borderId="1" xfId="4" applyFont="1" applyAlignment="1">
      <alignment vertical="center" wrapText="1"/>
    </xf>
    <xf numFmtId="178" fontId="12" fillId="0" borderId="1" xfId="5" applyNumberFormat="1" applyFont="1" applyAlignment="1">
      <alignment vertical="center"/>
    </xf>
    <xf numFmtId="176" fontId="17" fillId="0" borderId="0" xfId="0" applyNumberFormat="1" applyFont="1" applyAlignment="1">
      <alignment horizontal="center" vertical="center"/>
    </xf>
    <xf numFmtId="0" fontId="17" fillId="0" borderId="0" xfId="0" applyFont="1" applyAlignment="1">
      <alignment vertical="center"/>
    </xf>
    <xf numFmtId="9" fontId="0" fillId="0" borderId="0" xfId="6" applyFont="1" applyAlignment="1">
      <alignment vertical="center"/>
    </xf>
    <xf numFmtId="49" fontId="18" fillId="0" borderId="1" xfId="8" applyNumberFormat="1" applyAlignment="1">
      <alignment horizontal="left" vertical="top" wrapText="1"/>
    </xf>
    <xf numFmtId="0" fontId="19" fillId="0" borderId="3" xfId="8" applyFont="1" applyBorder="1" applyAlignment="1">
      <alignment horizontal="center" vertical="center" wrapText="1"/>
    </xf>
    <xf numFmtId="0" fontId="19" fillId="0" borderId="3" xfId="8" applyFont="1" applyBorder="1" applyAlignment="1">
      <alignment vertical="center" wrapText="1"/>
    </xf>
    <xf numFmtId="49" fontId="21" fillId="0" borderId="3" xfId="8" applyNumberFormat="1" applyFont="1" applyBorder="1" applyAlignment="1">
      <alignment horizontal="center" vertical="center" wrapText="1"/>
    </xf>
    <xf numFmtId="49" fontId="18" fillId="0" borderId="3" xfId="8" applyNumberFormat="1" applyBorder="1" applyAlignment="1">
      <alignment horizontal="left" vertical="top" wrapText="1"/>
    </xf>
    <xf numFmtId="1" fontId="20" fillId="0" borderId="17" xfId="8" applyNumberFormat="1" applyFont="1" applyBorder="1" applyAlignment="1">
      <alignment horizontal="center" vertical="center" wrapText="1"/>
    </xf>
    <xf numFmtId="0" fontId="19" fillId="0" borderId="18" xfId="8" applyFont="1" applyBorder="1" applyAlignment="1">
      <alignment horizontal="center" vertical="center" wrapText="1"/>
    </xf>
    <xf numFmtId="0" fontId="19" fillId="0" borderId="8" xfId="8" applyFont="1" applyBorder="1" applyAlignment="1">
      <alignment horizontal="center" vertical="center" wrapText="1"/>
    </xf>
    <xf numFmtId="0" fontId="19" fillId="0" borderId="8" xfId="8" applyFont="1" applyBorder="1" applyAlignment="1">
      <alignment vertical="center" wrapText="1"/>
    </xf>
    <xf numFmtId="1" fontId="20" fillId="0" borderId="3" xfId="8" applyNumberFormat="1" applyFont="1" applyBorder="1" applyAlignment="1">
      <alignment horizontal="center" vertical="center" wrapText="1"/>
    </xf>
    <xf numFmtId="49" fontId="24" fillId="0" borderId="1" xfId="8" applyNumberFormat="1" applyFont="1" applyAlignment="1">
      <alignment horizontal="center" vertical="top" wrapText="1"/>
    </xf>
    <xf numFmtId="49" fontId="18" fillId="0" borderId="1" xfId="8" applyNumberFormat="1" applyAlignment="1">
      <alignment vertical="top" wrapText="1"/>
    </xf>
    <xf numFmtId="49" fontId="24" fillId="0" borderId="1" xfId="8" applyNumberFormat="1" applyFont="1" applyAlignment="1">
      <alignment horizontal="center" vertical="top"/>
    </xf>
    <xf numFmtId="49" fontId="18" fillId="0" borderId="1" xfId="8" applyNumberFormat="1" applyAlignment="1">
      <alignment horizontal="left" vertical="top"/>
    </xf>
    <xf numFmtId="49" fontId="18" fillId="0" borderId="1" xfId="8" applyNumberFormat="1" applyAlignment="1">
      <alignment vertical="top"/>
    </xf>
    <xf numFmtId="0" fontId="25" fillId="3" borderId="11" xfId="8" applyFont="1" applyFill="1" applyBorder="1" applyAlignment="1">
      <alignment horizontal="center" vertical="center" wrapText="1"/>
    </xf>
    <xf numFmtId="0" fontId="26" fillId="3" borderId="12" xfId="8" applyFont="1" applyFill="1" applyBorder="1" applyAlignment="1">
      <alignment horizontal="center" vertical="center" wrapText="1"/>
    </xf>
    <xf numFmtId="0" fontId="26" fillId="3" borderId="3" xfId="8" applyFont="1" applyFill="1" applyBorder="1" applyAlignment="1">
      <alignment horizontal="center" vertical="center" wrapText="1"/>
    </xf>
    <xf numFmtId="0" fontId="26" fillId="4" borderId="8" xfId="8" applyFont="1" applyFill="1" applyBorder="1" applyAlignment="1">
      <alignment horizontal="center" vertical="center" wrapText="1"/>
    </xf>
    <xf numFmtId="0" fontId="26" fillId="5" borderId="8" xfId="8" applyFont="1" applyFill="1" applyBorder="1" applyAlignment="1">
      <alignment horizontal="center" vertical="center" wrapText="1"/>
    </xf>
    <xf numFmtId="0" fontId="26" fillId="6" borderId="8" xfId="8" applyFont="1" applyFill="1" applyBorder="1" applyAlignment="1">
      <alignment horizontal="center" vertical="center" wrapText="1"/>
    </xf>
    <xf numFmtId="0" fontId="26" fillId="7" borderId="8" xfId="8" applyFont="1" applyFill="1" applyBorder="1" applyAlignment="1">
      <alignment horizontal="center" vertical="center" wrapText="1"/>
    </xf>
    <xf numFmtId="0" fontId="26" fillId="8" borderId="8" xfId="8" applyFont="1" applyFill="1" applyBorder="1" applyAlignment="1">
      <alignment horizontal="center" vertical="center" wrapText="1"/>
    </xf>
    <xf numFmtId="0" fontId="26" fillId="9" borderId="8" xfId="8" applyFont="1" applyFill="1" applyBorder="1" applyAlignment="1">
      <alignment horizontal="center" vertical="center" wrapText="1"/>
    </xf>
    <xf numFmtId="0" fontId="26" fillId="10" borderId="8" xfId="8" applyFont="1" applyFill="1" applyBorder="1" applyAlignment="1">
      <alignment horizontal="center" vertical="center" wrapText="1"/>
    </xf>
    <xf numFmtId="0" fontId="26" fillId="11" borderId="8" xfId="8" applyFont="1" applyFill="1" applyBorder="1" applyAlignment="1">
      <alignment horizontal="center" vertical="center" wrapText="1"/>
    </xf>
    <xf numFmtId="0" fontId="26" fillId="12" borderId="8" xfId="8" applyFont="1" applyFill="1" applyBorder="1" applyAlignment="1">
      <alignment horizontal="center" vertical="center" wrapText="1"/>
    </xf>
    <xf numFmtId="9" fontId="10" fillId="0" borderId="3" xfId="0" applyNumberFormat="1" applyFont="1" applyBorder="1" applyAlignment="1">
      <alignment horizontal="center" vertical="center" wrapText="1"/>
    </xf>
    <xf numFmtId="9" fontId="9" fillId="0" borderId="3" xfId="1" applyNumberFormat="1" applyFont="1" applyBorder="1" applyAlignment="1">
      <alignment horizontal="center" vertical="center" wrapText="1"/>
    </xf>
    <xf numFmtId="9" fontId="9" fillId="0" borderId="3" xfId="0" applyNumberFormat="1" applyFont="1" applyBorder="1" applyAlignment="1">
      <alignment horizontal="center" vertical="center" wrapText="1"/>
    </xf>
    <xf numFmtId="0" fontId="5" fillId="0" borderId="1" xfId="1" applyFont="1" applyAlignment="1">
      <alignment horizontal="center" vertical="center"/>
    </xf>
    <xf numFmtId="0" fontId="7" fillId="2" borderId="3" xfId="1" applyFont="1" applyFill="1" applyBorder="1" applyAlignment="1">
      <alignment horizontal="center" vertical="center" wrapText="1"/>
    </xf>
    <xf numFmtId="0" fontId="11" fillId="0" borderId="4" xfId="1" applyFont="1" applyBorder="1" applyAlignment="1">
      <alignment horizontal="center" vertical="center" wrapText="1"/>
    </xf>
    <xf numFmtId="0" fontId="11" fillId="0" borderId="5" xfId="1" applyFont="1" applyBorder="1" applyAlignment="1">
      <alignment horizontal="center" vertical="center" wrapText="1"/>
    </xf>
    <xf numFmtId="0" fontId="11" fillId="0" borderId="6" xfId="1" applyFont="1" applyBorder="1" applyAlignment="1">
      <alignment horizontal="center" vertical="center" wrapText="1"/>
    </xf>
    <xf numFmtId="176" fontId="11" fillId="0" borderId="3" xfId="1" applyNumberFormat="1" applyFont="1" applyBorder="1" applyAlignment="1">
      <alignment horizontal="center" vertical="center" wrapText="1"/>
    </xf>
    <xf numFmtId="0" fontId="14" fillId="0" borderId="1" xfId="1" applyFont="1" applyAlignment="1">
      <alignment horizontal="center"/>
    </xf>
    <xf numFmtId="176" fontId="14" fillId="0" borderId="1" xfId="1" applyNumberFormat="1" applyFont="1" applyAlignment="1">
      <alignment horizontal="center"/>
    </xf>
    <xf numFmtId="0" fontId="5" fillId="0" borderId="2" xfId="1" applyFont="1" applyBorder="1" applyAlignment="1">
      <alignment horizontal="center" vertical="center"/>
    </xf>
    <xf numFmtId="0" fontId="12" fillId="0" borderId="7" xfId="1" applyFont="1" applyBorder="1" applyAlignment="1">
      <alignment vertical="center" wrapText="1"/>
    </xf>
    <xf numFmtId="0" fontId="12" fillId="0" borderId="7" xfId="1" applyFont="1" applyBorder="1" applyAlignment="1">
      <alignment vertical="center"/>
    </xf>
    <xf numFmtId="0" fontId="5" fillId="0" borderId="2" xfId="0" applyFont="1" applyBorder="1" applyAlignment="1">
      <alignment horizontal="center" vertical="center"/>
    </xf>
    <xf numFmtId="0" fontId="7" fillId="2" borderId="3" xfId="0" applyFont="1" applyFill="1" applyBorder="1" applyAlignment="1">
      <alignment horizontal="center" vertical="center" wrapText="1"/>
    </xf>
    <xf numFmtId="176" fontId="9" fillId="0" borderId="8" xfId="0" applyNumberFormat="1" applyFont="1" applyBorder="1" applyAlignment="1">
      <alignment horizontal="center" vertical="center" wrapText="1"/>
    </xf>
    <xf numFmtId="176" fontId="9" fillId="0" borderId="9" xfId="0" applyNumberFormat="1" applyFont="1" applyBorder="1" applyAlignment="1">
      <alignment horizontal="center" vertical="center" wrapText="1"/>
    </xf>
    <xf numFmtId="176" fontId="9" fillId="0" borderId="8" xfId="0" applyNumberFormat="1" applyFont="1" applyBorder="1" applyAlignment="1">
      <alignment vertical="center" wrapText="1"/>
    </xf>
    <xf numFmtId="176" fontId="9" fillId="0" borderId="10" xfId="0" applyNumberFormat="1" applyFont="1" applyBorder="1" applyAlignment="1">
      <alignment vertical="center" wrapText="1"/>
    </xf>
    <xf numFmtId="176" fontId="9" fillId="0" borderId="9" xfId="0" applyNumberFormat="1" applyFont="1" applyBorder="1" applyAlignment="1">
      <alignment vertical="center" wrapText="1"/>
    </xf>
    <xf numFmtId="0" fontId="5" fillId="0" borderId="1" xfId="2" applyFont="1" applyAlignment="1">
      <alignment horizontal="center" vertical="center"/>
    </xf>
    <xf numFmtId="0" fontId="7" fillId="2" borderId="3" xfId="2" applyFont="1" applyFill="1" applyBorder="1" applyAlignment="1">
      <alignment horizontal="center" vertical="center" wrapText="1"/>
    </xf>
    <xf numFmtId="0" fontId="11" fillId="0" borderId="4" xfId="2" applyFont="1" applyBorder="1" applyAlignment="1">
      <alignment horizontal="center" vertical="center" wrapText="1"/>
    </xf>
    <xf numFmtId="0" fontId="11" fillId="0" borderId="5" xfId="2" applyFont="1" applyBorder="1" applyAlignment="1">
      <alignment horizontal="center" vertical="center" wrapText="1"/>
    </xf>
    <xf numFmtId="0" fontId="11" fillId="0" borderId="6" xfId="2" applyFont="1" applyBorder="1" applyAlignment="1">
      <alignment horizontal="center" vertical="center" wrapText="1"/>
    </xf>
    <xf numFmtId="176" fontId="11" fillId="0" borderId="3" xfId="2" applyNumberFormat="1" applyFont="1" applyBorder="1" applyAlignment="1">
      <alignment horizontal="center" vertical="center" wrapText="1"/>
    </xf>
    <xf numFmtId="0" fontId="14" fillId="0" borderId="1" xfId="2" applyFont="1" applyAlignment="1">
      <alignment horizontal="center"/>
    </xf>
    <xf numFmtId="176" fontId="14" fillId="0" borderId="1" xfId="2" applyNumberFormat="1" applyFont="1" applyAlignment="1">
      <alignment horizontal="center"/>
    </xf>
    <xf numFmtId="0" fontId="5" fillId="0" borderId="1" xfId="4" applyFont="1" applyAlignment="1">
      <alignment horizontal="center" vertical="center"/>
    </xf>
    <xf numFmtId="0" fontId="11" fillId="2" borderId="3" xfId="4" applyFont="1" applyFill="1" applyBorder="1" applyAlignment="1">
      <alignment horizontal="center" vertical="center" wrapText="1"/>
    </xf>
    <xf numFmtId="0" fontId="9" fillId="0" borderId="8" xfId="4" applyFont="1" applyBorder="1" applyAlignment="1">
      <alignment horizontal="center" vertical="center" wrapText="1"/>
    </xf>
    <xf numFmtId="0" fontId="9" fillId="0" borderId="10" xfId="4" applyFont="1" applyBorder="1" applyAlignment="1">
      <alignment horizontal="center" vertical="center" wrapText="1"/>
    </xf>
    <xf numFmtId="0" fontId="9" fillId="0" borderId="9" xfId="4" applyFont="1" applyBorder="1" applyAlignment="1">
      <alignment horizontal="center" vertical="center" wrapText="1"/>
    </xf>
    <xf numFmtId="0" fontId="8" fillId="0" borderId="4" xfId="4" applyFont="1" applyBorder="1" applyAlignment="1">
      <alignment horizontal="center" vertical="center"/>
    </xf>
    <xf numFmtId="0" fontId="8" fillId="0" borderId="5" xfId="4" applyFont="1" applyBorder="1" applyAlignment="1">
      <alignment horizontal="center" vertical="center"/>
    </xf>
    <xf numFmtId="0" fontId="8" fillId="0" borderId="6" xfId="4" applyFont="1" applyBorder="1" applyAlignment="1">
      <alignment horizontal="center" vertical="center"/>
    </xf>
    <xf numFmtId="176" fontId="8" fillId="0" borderId="4" xfId="4" applyNumberFormat="1" applyFont="1" applyBorder="1" applyAlignment="1">
      <alignment horizontal="center" vertical="center"/>
    </xf>
    <xf numFmtId="0" fontId="23" fillId="0" borderId="3" xfId="8" applyFont="1" applyBorder="1" applyAlignment="1">
      <alignment horizontal="left" vertical="center" wrapText="1"/>
    </xf>
    <xf numFmtId="49" fontId="23" fillId="0" borderId="3" xfId="8" applyNumberFormat="1" applyFont="1" applyBorder="1" applyAlignment="1">
      <alignment horizontal="left" vertical="center" wrapText="1"/>
    </xf>
    <xf numFmtId="49" fontId="24" fillId="0" borderId="1" xfId="8" applyNumberFormat="1" applyFont="1" applyAlignment="1">
      <alignment horizontal="center" vertical="top" wrapText="1"/>
    </xf>
    <xf numFmtId="49" fontId="24" fillId="0" borderId="1" xfId="8" applyNumberFormat="1" applyFont="1" applyAlignment="1">
      <alignment horizontal="center" vertical="top"/>
    </xf>
    <xf numFmtId="1" fontId="20" fillId="0" borderId="13" xfId="8" applyNumberFormat="1" applyFont="1" applyBorder="1" applyAlignment="1">
      <alignment horizontal="center" vertical="center" wrapText="1"/>
    </xf>
    <xf numFmtId="1" fontId="20" fillId="0" borderId="15" xfId="8" applyNumberFormat="1" applyFont="1" applyBorder="1" applyAlignment="1">
      <alignment horizontal="center" vertical="center" wrapText="1"/>
    </xf>
    <xf numFmtId="1" fontId="20" fillId="0" borderId="17" xfId="8" applyNumberFormat="1" applyFont="1" applyBorder="1" applyAlignment="1">
      <alignment horizontal="center" vertical="center" wrapText="1"/>
    </xf>
    <xf numFmtId="0" fontId="19" fillId="0" borderId="14" xfId="8" applyFont="1" applyBorder="1" applyAlignment="1">
      <alignment horizontal="center" vertical="center" wrapText="1"/>
    </xf>
    <xf numFmtId="0" fontId="19" fillId="0" borderId="16" xfId="8" applyFont="1" applyBorder="1" applyAlignment="1">
      <alignment horizontal="center" vertical="center" wrapText="1"/>
    </xf>
    <xf numFmtId="0" fontId="19" fillId="0" borderId="18" xfId="8" applyFont="1" applyBorder="1" applyAlignment="1">
      <alignment horizontal="center" vertical="center" wrapText="1"/>
    </xf>
    <xf numFmtId="1" fontId="20" fillId="0" borderId="11" xfId="8" applyNumberFormat="1" applyFont="1" applyBorder="1" applyAlignment="1">
      <alignment horizontal="center" vertical="center" wrapText="1"/>
    </xf>
    <xf numFmtId="0" fontId="22" fillId="0" borderId="11" xfId="8" applyFont="1" applyBorder="1" applyAlignment="1">
      <alignment horizontal="center" vertical="center" wrapText="1"/>
    </xf>
    <xf numFmtId="0" fontId="19" fillId="0" borderId="12" xfId="8" applyFont="1" applyBorder="1" applyAlignment="1">
      <alignment horizontal="center" vertical="center" wrapText="1"/>
    </xf>
    <xf numFmtId="0" fontId="22" fillId="0" borderId="12" xfId="8" applyFont="1" applyBorder="1" applyAlignment="1">
      <alignment horizontal="center" vertical="center" wrapText="1"/>
    </xf>
    <xf numFmtId="1" fontId="20" fillId="0" borderId="3" xfId="8" applyNumberFormat="1" applyFont="1" applyBorder="1" applyAlignment="1">
      <alignment horizontal="center" vertical="center" wrapText="1"/>
    </xf>
    <xf numFmtId="0" fontId="19" fillId="0" borderId="3" xfId="8" applyFont="1" applyBorder="1" applyAlignment="1">
      <alignment horizontal="center" vertical="center" wrapText="1"/>
    </xf>
  </cellXfs>
  <cellStyles count="9">
    <cellStyle name="百分比" xfId="6" builtinId="5"/>
    <cellStyle name="常规" xfId="0" builtinId="0"/>
    <cellStyle name="常规 2" xfId="1" xr:uid="{1D1EB1A8-B1B6-44B1-88A2-00A6FFB30012}"/>
    <cellStyle name="常规 2 2" xfId="2" xr:uid="{B0D160D9-A2E2-4740-80FB-6830A64D2D50}"/>
    <cellStyle name="常规 3" xfId="3" xr:uid="{5891819D-D101-4FC4-9AB2-EA199E28D08C}"/>
    <cellStyle name="常规 4" xfId="4" xr:uid="{BB23C6E8-3239-4335-9F56-44708688CF77}"/>
    <cellStyle name="常规 5" xfId="7" xr:uid="{7F8C4B8E-B820-4CA3-9BE3-D15757118BA0}"/>
    <cellStyle name="常规 6" xfId="8" xr:uid="{33770078-21E6-4F09-BE89-BC6B6F3EF226}"/>
    <cellStyle name="千位分隔 2" xfId="5" xr:uid="{DB93F09F-06C0-4E4D-805E-B94CD3682E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50800</xdr:colOff>
      <xdr:row>1</xdr:row>
      <xdr:rowOff>44450</xdr:rowOff>
    </xdr:from>
    <xdr:ext cx="1888490" cy="447675"/>
    <xdr:pic>
      <xdr:nvPicPr>
        <xdr:cNvPr id="2" name="Picture 1" descr="5">
          <a:extLst>
            <a:ext uri="{FF2B5EF4-FFF2-40B4-BE49-F238E27FC236}">
              <a16:creationId xmlns:a16="http://schemas.microsoft.com/office/drawing/2014/main" id="{94FDF6F6-ACE1-4CAA-B7E4-73BA8AF11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7656"/>
        <a:stretch>
          <a:fillRect/>
        </a:stretch>
      </xdr:blipFill>
      <xdr:spPr>
        <a:xfrm>
          <a:off x="317500" y="225425"/>
          <a:ext cx="188849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50800</xdr:colOff>
      <xdr:row>1</xdr:row>
      <xdr:rowOff>44450</xdr:rowOff>
    </xdr:from>
    <xdr:ext cx="1888490" cy="447675"/>
    <xdr:pic>
      <xdr:nvPicPr>
        <xdr:cNvPr id="2" name="Picture 1" descr="5">
          <a:extLst>
            <a:ext uri="{FF2B5EF4-FFF2-40B4-BE49-F238E27FC236}">
              <a16:creationId xmlns:a16="http://schemas.microsoft.com/office/drawing/2014/main" id="{5535878D-1F56-4633-ACCA-F63F53974E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7656"/>
        <a:stretch>
          <a:fillRect/>
        </a:stretch>
      </xdr:blipFill>
      <xdr:spPr>
        <a:xfrm>
          <a:off x="536575" y="225425"/>
          <a:ext cx="188849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69850</xdr:colOff>
      <xdr:row>0</xdr:row>
      <xdr:rowOff>63500</xdr:rowOff>
    </xdr:from>
    <xdr:ext cx="1888490" cy="447675"/>
    <xdr:pic>
      <xdr:nvPicPr>
        <xdr:cNvPr id="3" name="Picture 1" descr="5">
          <a:extLst>
            <a:ext uri="{FF2B5EF4-FFF2-40B4-BE49-F238E27FC236}">
              <a16:creationId xmlns:a16="http://schemas.microsoft.com/office/drawing/2014/main" id="{2D205D91-36AA-43FE-8841-5C4684C50C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7656"/>
        <a:stretch>
          <a:fillRect/>
        </a:stretch>
      </xdr:blipFill>
      <xdr:spPr>
        <a:xfrm>
          <a:off x="374650" y="63500"/>
          <a:ext cx="188849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50800</xdr:colOff>
      <xdr:row>1</xdr:row>
      <xdr:rowOff>44450</xdr:rowOff>
    </xdr:from>
    <xdr:ext cx="1888490" cy="447675"/>
    <xdr:pic>
      <xdr:nvPicPr>
        <xdr:cNvPr id="2" name="Picture 1" descr="5">
          <a:extLst>
            <a:ext uri="{FF2B5EF4-FFF2-40B4-BE49-F238E27FC236}">
              <a16:creationId xmlns:a16="http://schemas.microsoft.com/office/drawing/2014/main" id="{3E14626F-F4FE-492A-9FDD-820DB0F86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7656"/>
        <a:stretch>
          <a:fillRect/>
        </a:stretch>
      </xdr:blipFill>
      <xdr:spPr>
        <a:xfrm>
          <a:off x="317500" y="225425"/>
          <a:ext cx="188849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50800</xdr:colOff>
      <xdr:row>0</xdr:row>
      <xdr:rowOff>44450</xdr:rowOff>
    </xdr:from>
    <xdr:ext cx="1888490" cy="447675"/>
    <xdr:pic>
      <xdr:nvPicPr>
        <xdr:cNvPr id="2" name="Picture 1" descr="5">
          <a:extLst>
            <a:ext uri="{FF2B5EF4-FFF2-40B4-BE49-F238E27FC236}">
              <a16:creationId xmlns:a16="http://schemas.microsoft.com/office/drawing/2014/main" id="{16BE6454-7532-43CA-81A4-56BC1D5253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7656"/>
        <a:stretch>
          <a:fillRect/>
        </a:stretch>
      </xdr:blipFill>
      <xdr:spPr>
        <a:xfrm>
          <a:off x="50800" y="44450"/>
          <a:ext cx="188849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4F76-7130-4304-8BE3-3FE779EF3187}">
  <dimension ref="B2:N24"/>
  <sheetViews>
    <sheetView tabSelected="1" zoomScaleNormal="100" workbookViewId="0">
      <selection activeCell="J7" sqref="J7"/>
    </sheetView>
  </sheetViews>
  <sheetFormatPr defaultRowHeight="14.25"/>
  <cols>
    <col min="1" max="1" width="4" style="2" customWidth="1"/>
    <col min="2" max="2" width="41.7109375" style="2" customWidth="1"/>
    <col min="3" max="3" width="81.42578125" style="13" customWidth="1"/>
    <col min="4" max="4" width="13.7109375" style="2" customWidth="1"/>
    <col min="5" max="5" width="10.7109375" style="2" customWidth="1"/>
    <col min="6" max="6" width="13.140625" style="2" customWidth="1"/>
    <col min="7" max="7" width="10.28515625" style="2" customWidth="1"/>
    <col min="8" max="9" width="15" style="2" customWidth="1"/>
    <col min="10" max="10" width="34.42578125" style="2" customWidth="1"/>
    <col min="11" max="11" width="11.42578125" style="2" bestFit="1" customWidth="1"/>
    <col min="12" max="12" width="59.42578125" style="2" customWidth="1"/>
    <col min="13" max="13" width="13.5703125" style="2" customWidth="1"/>
    <col min="14" max="16384" width="9.140625" style="2"/>
  </cols>
  <sheetData>
    <row r="2" spans="2:14" ht="40.5" customHeight="1">
      <c r="B2" s="72" t="s">
        <v>0</v>
      </c>
      <c r="C2" s="72"/>
      <c r="D2" s="72"/>
      <c r="E2" s="72"/>
      <c r="F2" s="72"/>
      <c r="G2" s="72"/>
      <c r="H2" s="72"/>
      <c r="I2" s="72"/>
      <c r="J2" s="72"/>
      <c r="K2" s="14"/>
      <c r="L2" s="14"/>
      <c r="M2" s="14"/>
      <c r="N2" s="14"/>
    </row>
    <row r="3" spans="2:14" ht="36">
      <c r="B3" s="3" t="s">
        <v>1</v>
      </c>
      <c r="C3" s="3" t="s">
        <v>2</v>
      </c>
      <c r="D3" s="73" t="s">
        <v>3</v>
      </c>
      <c r="E3" s="73"/>
      <c r="F3" s="3" t="s">
        <v>4</v>
      </c>
      <c r="G3" s="3" t="s">
        <v>21</v>
      </c>
      <c r="H3" s="3" t="s">
        <v>22</v>
      </c>
      <c r="I3" s="3" t="s">
        <v>23</v>
      </c>
      <c r="J3" s="4" t="s">
        <v>6</v>
      </c>
    </row>
    <row r="4" spans="2:14" ht="18">
      <c r="B4" s="7" t="s">
        <v>24</v>
      </c>
      <c r="C4" s="8" t="s">
        <v>25</v>
      </c>
      <c r="D4" s="6">
        <v>60</v>
      </c>
      <c r="E4" s="7" t="s">
        <v>26</v>
      </c>
      <c r="F4" s="7"/>
      <c r="G4" s="69">
        <v>0.5</v>
      </c>
      <c r="H4" s="16">
        <f t="shared" ref="H4:H11" si="0">D4*F4*G4</f>
        <v>0</v>
      </c>
      <c r="I4" s="16">
        <f t="shared" ref="I4:I11" si="1">H4*12</f>
        <v>0</v>
      </c>
      <c r="J4" s="6"/>
    </row>
    <row r="5" spans="2:14" ht="18">
      <c r="B5" s="7" t="s">
        <v>27</v>
      </c>
      <c r="C5" s="8" t="s">
        <v>28</v>
      </c>
      <c r="D5" s="6">
        <v>260</v>
      </c>
      <c r="E5" s="7" t="s">
        <v>26</v>
      </c>
      <c r="F5" s="7"/>
      <c r="G5" s="69">
        <v>0.3</v>
      </c>
      <c r="H5" s="16">
        <f t="shared" si="0"/>
        <v>0</v>
      </c>
      <c r="I5" s="16">
        <f t="shared" si="1"/>
        <v>0</v>
      </c>
      <c r="J5" s="6"/>
    </row>
    <row r="6" spans="2:14" ht="36">
      <c r="B6" s="7" t="s">
        <v>29</v>
      </c>
      <c r="C6" s="8" t="s">
        <v>30</v>
      </c>
      <c r="D6" s="6">
        <v>450</v>
      </c>
      <c r="E6" s="7" t="s">
        <v>26</v>
      </c>
      <c r="F6" s="7"/>
      <c r="G6" s="69">
        <v>0.5</v>
      </c>
      <c r="H6" s="16">
        <f t="shared" si="0"/>
        <v>0</v>
      </c>
      <c r="I6" s="16">
        <f t="shared" si="1"/>
        <v>0</v>
      </c>
      <c r="J6" s="6"/>
    </row>
    <row r="7" spans="2:14" ht="36">
      <c r="B7" s="7" t="s">
        <v>31</v>
      </c>
      <c r="C7" s="8" t="s">
        <v>10</v>
      </c>
      <c r="D7" s="6">
        <v>650</v>
      </c>
      <c r="E7" s="7" t="s">
        <v>26</v>
      </c>
      <c r="F7" s="7"/>
      <c r="G7" s="69">
        <v>0.5</v>
      </c>
      <c r="H7" s="16">
        <f t="shared" si="0"/>
        <v>0</v>
      </c>
      <c r="I7" s="16">
        <f t="shared" si="1"/>
        <v>0</v>
      </c>
      <c r="J7" s="6"/>
    </row>
    <row r="8" spans="2:14" ht="36">
      <c r="B8" s="15" t="s">
        <v>32</v>
      </c>
      <c r="C8" s="11" t="s">
        <v>33</v>
      </c>
      <c r="D8" s="16">
        <v>1100</v>
      </c>
      <c r="E8" s="15" t="s">
        <v>26</v>
      </c>
      <c r="F8" s="15"/>
      <c r="G8" s="69">
        <v>0.5</v>
      </c>
      <c r="H8" s="16">
        <f t="shared" si="0"/>
        <v>0</v>
      </c>
      <c r="I8" s="16">
        <f t="shared" si="1"/>
        <v>0</v>
      </c>
      <c r="J8" s="6"/>
    </row>
    <row r="9" spans="2:14" ht="18">
      <c r="B9" s="7" t="s">
        <v>34</v>
      </c>
      <c r="C9" s="8" t="s">
        <v>35</v>
      </c>
      <c r="D9" s="6">
        <v>10</v>
      </c>
      <c r="E9" s="7" t="s">
        <v>26</v>
      </c>
      <c r="F9" s="7"/>
      <c r="G9" s="69">
        <v>0.5</v>
      </c>
      <c r="H9" s="16">
        <f t="shared" si="0"/>
        <v>0</v>
      </c>
      <c r="I9" s="16">
        <f t="shared" si="1"/>
        <v>0</v>
      </c>
      <c r="J9" s="6"/>
    </row>
    <row r="10" spans="2:14" ht="36">
      <c r="B10" s="15" t="s">
        <v>36</v>
      </c>
      <c r="C10" s="11" t="s">
        <v>37</v>
      </c>
      <c r="D10" s="16">
        <v>20</v>
      </c>
      <c r="E10" s="15" t="s">
        <v>26</v>
      </c>
      <c r="F10" s="7"/>
      <c r="G10" s="69">
        <v>0.5</v>
      </c>
      <c r="H10" s="16">
        <f t="shared" si="0"/>
        <v>0</v>
      </c>
      <c r="I10" s="16">
        <f t="shared" si="1"/>
        <v>0</v>
      </c>
      <c r="J10" s="6"/>
    </row>
    <row r="11" spans="2:14" ht="36">
      <c r="B11" s="7" t="s">
        <v>38</v>
      </c>
      <c r="C11" s="8" t="s">
        <v>39</v>
      </c>
      <c r="D11" s="6">
        <v>500</v>
      </c>
      <c r="E11" s="7" t="s">
        <v>26</v>
      </c>
      <c r="F11" s="7"/>
      <c r="G11" s="69">
        <v>0.5</v>
      </c>
      <c r="H11" s="16">
        <f t="shared" si="0"/>
        <v>0</v>
      </c>
      <c r="I11" s="16">
        <f t="shared" si="1"/>
        <v>0</v>
      </c>
      <c r="J11" s="6"/>
    </row>
    <row r="12" spans="2:14" ht="18">
      <c r="B12" s="7" t="s">
        <v>40</v>
      </c>
      <c r="C12" s="8" t="s">
        <v>41</v>
      </c>
      <c r="D12" s="6">
        <v>600</v>
      </c>
      <c r="E12" s="7" t="s">
        <v>26</v>
      </c>
      <c r="F12" s="7"/>
      <c r="G12" s="69">
        <v>0.5</v>
      </c>
      <c r="H12" s="16">
        <f>D12*F12*G12</f>
        <v>0</v>
      </c>
      <c r="I12" s="16">
        <f>H12*12</f>
        <v>0</v>
      </c>
      <c r="J12" s="6"/>
    </row>
    <row r="13" spans="2:14" ht="36">
      <c r="B13" s="7" t="s">
        <v>42</v>
      </c>
      <c r="C13" s="8" t="s">
        <v>43</v>
      </c>
      <c r="D13" s="6">
        <v>7</v>
      </c>
      <c r="E13" s="7" t="s">
        <v>26</v>
      </c>
      <c r="F13" s="7"/>
      <c r="G13" s="69">
        <v>0.5</v>
      </c>
      <c r="H13" s="16">
        <f t="shared" ref="H13:H21" si="2">D13*F13*G13</f>
        <v>0</v>
      </c>
      <c r="I13" s="16">
        <f t="shared" ref="I13:I21" si="3">H13*12</f>
        <v>0</v>
      </c>
      <c r="J13" s="6"/>
    </row>
    <row r="14" spans="2:14" ht="18">
      <c r="B14" s="7" t="s">
        <v>44</v>
      </c>
      <c r="C14" s="8" t="s">
        <v>45</v>
      </c>
      <c r="D14" s="6">
        <v>60</v>
      </c>
      <c r="E14" s="7" t="s">
        <v>26</v>
      </c>
      <c r="F14" s="7"/>
      <c r="G14" s="69">
        <v>0.5</v>
      </c>
      <c r="H14" s="16">
        <f t="shared" si="2"/>
        <v>0</v>
      </c>
      <c r="I14" s="16">
        <f t="shared" si="3"/>
        <v>0</v>
      </c>
      <c r="J14" s="6"/>
    </row>
    <row r="15" spans="2:14" ht="36">
      <c r="B15" s="7" t="s">
        <v>46</v>
      </c>
      <c r="C15" s="8" t="s">
        <v>47</v>
      </c>
      <c r="D15" s="6">
        <v>3500</v>
      </c>
      <c r="E15" s="7" t="s">
        <v>26</v>
      </c>
      <c r="F15" s="7"/>
      <c r="G15" s="69">
        <v>0.5</v>
      </c>
      <c r="H15" s="16">
        <f t="shared" si="2"/>
        <v>0</v>
      </c>
      <c r="I15" s="16">
        <f t="shared" si="3"/>
        <v>0</v>
      </c>
      <c r="J15" s="6"/>
    </row>
    <row r="16" spans="2:14" ht="36">
      <c r="B16" s="15" t="s">
        <v>13</v>
      </c>
      <c r="C16" s="11" t="s">
        <v>14</v>
      </c>
      <c r="D16" s="16">
        <v>3000</v>
      </c>
      <c r="E16" s="15" t="s">
        <v>26</v>
      </c>
      <c r="F16" s="7"/>
      <c r="G16" s="69">
        <v>0.5</v>
      </c>
      <c r="H16" s="16">
        <f t="shared" si="2"/>
        <v>0</v>
      </c>
      <c r="I16" s="16">
        <f t="shared" si="3"/>
        <v>0</v>
      </c>
      <c r="J16" s="6"/>
    </row>
    <row r="17" spans="2:10" ht="18">
      <c r="B17" s="15" t="s">
        <v>48</v>
      </c>
      <c r="C17" s="11" t="s">
        <v>49</v>
      </c>
      <c r="D17" s="16">
        <v>2000</v>
      </c>
      <c r="E17" s="15" t="s">
        <v>26</v>
      </c>
      <c r="F17" s="7"/>
      <c r="G17" s="69">
        <v>0.5</v>
      </c>
      <c r="H17" s="16">
        <f t="shared" si="2"/>
        <v>0</v>
      </c>
      <c r="I17" s="16">
        <f t="shared" si="3"/>
        <v>0</v>
      </c>
      <c r="J17" s="6"/>
    </row>
    <row r="18" spans="2:10" ht="18">
      <c r="B18" s="15" t="s">
        <v>50</v>
      </c>
      <c r="C18" s="11" t="s">
        <v>51</v>
      </c>
      <c r="D18" s="16">
        <v>10000</v>
      </c>
      <c r="E18" s="15" t="s">
        <v>26</v>
      </c>
      <c r="F18" s="7"/>
      <c r="G18" s="69">
        <v>0.5</v>
      </c>
      <c r="H18" s="16">
        <f t="shared" si="2"/>
        <v>0</v>
      </c>
      <c r="I18" s="16">
        <f t="shared" si="3"/>
        <v>0</v>
      </c>
      <c r="J18" s="6"/>
    </row>
    <row r="19" spans="2:10" ht="18">
      <c r="B19" s="15" t="s">
        <v>52</v>
      </c>
      <c r="C19" s="11" t="s">
        <v>53</v>
      </c>
      <c r="D19" s="16">
        <v>17500</v>
      </c>
      <c r="E19" s="15" t="s">
        <v>26</v>
      </c>
      <c r="F19" s="7"/>
      <c r="G19" s="69">
        <v>0.5</v>
      </c>
      <c r="H19" s="16">
        <f t="shared" si="2"/>
        <v>0</v>
      </c>
      <c r="I19" s="16">
        <f t="shared" si="3"/>
        <v>0</v>
      </c>
      <c r="J19" s="6"/>
    </row>
    <row r="20" spans="2:10" ht="18">
      <c r="B20" s="15" t="s">
        <v>54</v>
      </c>
      <c r="C20" s="11" t="s">
        <v>55</v>
      </c>
      <c r="D20" s="16">
        <v>300</v>
      </c>
      <c r="E20" s="15" t="s">
        <v>56</v>
      </c>
      <c r="F20" s="7"/>
      <c r="G20" s="70"/>
      <c r="H20" s="16"/>
      <c r="I20" s="16"/>
      <c r="J20" s="6"/>
    </row>
    <row r="21" spans="2:10" ht="36">
      <c r="B21" s="15" t="s">
        <v>57</v>
      </c>
      <c r="C21" s="11" t="s">
        <v>58</v>
      </c>
      <c r="D21" s="16">
        <v>3000</v>
      </c>
      <c r="E21" s="15" t="s">
        <v>59</v>
      </c>
      <c r="F21" s="17"/>
      <c r="G21" s="71">
        <v>0.8</v>
      </c>
      <c r="H21" s="16">
        <f t="shared" si="2"/>
        <v>0</v>
      </c>
      <c r="I21" s="16">
        <f t="shared" si="3"/>
        <v>0</v>
      </c>
      <c r="J21" s="6"/>
    </row>
    <row r="22" spans="2:10" ht="21">
      <c r="B22" s="74" t="s">
        <v>19</v>
      </c>
      <c r="C22" s="75"/>
      <c r="D22" s="75"/>
      <c r="E22" s="75"/>
      <c r="F22" s="76"/>
      <c r="G22" s="77">
        <f>SUM(I4:I21)</f>
        <v>0</v>
      </c>
      <c r="H22" s="77"/>
      <c r="I22" s="77"/>
      <c r="J22" s="12" t="s">
        <v>60</v>
      </c>
    </row>
    <row r="24" spans="2:10" ht="21">
      <c r="D24" s="78" t="s">
        <v>61</v>
      </c>
      <c r="E24" s="78"/>
      <c r="F24" s="78"/>
      <c r="G24" s="79">
        <f>SUM(I4:I19)*3+I21</f>
        <v>0</v>
      </c>
      <c r="H24" s="79"/>
      <c r="I24" s="79"/>
    </row>
  </sheetData>
  <mergeCells count="6">
    <mergeCell ref="B2:J2"/>
    <mergeCell ref="D3:E3"/>
    <mergeCell ref="B22:F22"/>
    <mergeCell ref="G22:I22"/>
    <mergeCell ref="D24:F24"/>
    <mergeCell ref="G24:I24"/>
  </mergeCells>
  <phoneticPr fontId="6"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2790-A92C-4C29-AA96-564A20600C87}">
  <dimension ref="B2:H10"/>
  <sheetViews>
    <sheetView zoomScale="115" zoomScaleNormal="115" workbookViewId="0">
      <selection activeCell="K6" sqref="K6"/>
    </sheetView>
  </sheetViews>
  <sheetFormatPr defaultRowHeight="14.25"/>
  <cols>
    <col min="1" max="1" width="7.28515625" style="2" customWidth="1"/>
    <col min="2" max="2" width="41.7109375" style="2" customWidth="1"/>
    <col min="3" max="3" width="49.42578125" style="13" customWidth="1"/>
    <col min="4" max="4" width="13.7109375" style="2" customWidth="1"/>
    <col min="5" max="5" width="10.7109375" style="2" customWidth="1"/>
    <col min="6" max="6" width="13.140625" style="2" customWidth="1"/>
    <col min="7" max="7" width="15" style="2" customWidth="1"/>
    <col min="8" max="8" width="20.42578125" style="2" customWidth="1"/>
    <col min="9" max="16384" width="9.140625" style="2"/>
  </cols>
  <sheetData>
    <row r="2" spans="2:8" ht="44.25" customHeight="1">
      <c r="B2" s="80" t="s">
        <v>0</v>
      </c>
      <c r="C2" s="80"/>
      <c r="D2" s="80"/>
      <c r="E2" s="80"/>
      <c r="F2" s="80"/>
      <c r="G2" s="80"/>
      <c r="H2" s="80"/>
    </row>
    <row r="3" spans="2:8" ht="18">
      <c r="B3" s="3" t="s">
        <v>1</v>
      </c>
      <c r="C3" s="3" t="s">
        <v>2</v>
      </c>
      <c r="D3" s="73" t="s">
        <v>3</v>
      </c>
      <c r="E3" s="73"/>
      <c r="F3" s="3" t="s">
        <v>4</v>
      </c>
      <c r="G3" s="3" t="s">
        <v>5</v>
      </c>
      <c r="H3" s="4" t="s">
        <v>6</v>
      </c>
    </row>
    <row r="4" spans="2:8" ht="36">
      <c r="B4" s="5" t="s">
        <v>7</v>
      </c>
      <c r="C4" s="5" t="s">
        <v>8</v>
      </c>
      <c r="D4" s="6">
        <v>3000</v>
      </c>
      <c r="E4" s="7" t="s">
        <v>9</v>
      </c>
      <c r="F4" s="7"/>
      <c r="G4" s="6"/>
      <c r="H4" s="6"/>
    </row>
    <row r="5" spans="2:8" ht="54">
      <c r="B5" s="5" t="s">
        <v>11</v>
      </c>
      <c r="C5" s="9" t="s">
        <v>12</v>
      </c>
      <c r="D5" s="6">
        <v>6600</v>
      </c>
      <c r="E5" s="7" t="s">
        <v>9</v>
      </c>
      <c r="F5" s="7"/>
      <c r="G5" s="6">
        <f>D5*F5</f>
        <v>0</v>
      </c>
      <c r="H5" s="6"/>
    </row>
    <row r="6" spans="2:8" ht="54">
      <c r="B6" s="5" t="s">
        <v>13</v>
      </c>
      <c r="C6" s="5" t="s">
        <v>14</v>
      </c>
      <c r="D6" s="6">
        <v>90000</v>
      </c>
      <c r="E6" s="7" t="s">
        <v>9</v>
      </c>
      <c r="F6" s="7"/>
      <c r="G6" s="6">
        <f>D6*F6</f>
        <v>0</v>
      </c>
      <c r="H6" s="6"/>
    </row>
    <row r="7" spans="2:8" ht="36">
      <c r="B7" s="5" t="s">
        <v>15</v>
      </c>
      <c r="C7" s="5" t="s">
        <v>16</v>
      </c>
      <c r="D7" s="6">
        <v>63000</v>
      </c>
      <c r="E7" s="7" t="s">
        <v>9</v>
      </c>
      <c r="F7" s="7"/>
      <c r="G7" s="6"/>
      <c r="H7" s="6"/>
    </row>
    <row r="8" spans="2:8" ht="36">
      <c r="B8" s="10" t="s">
        <v>17</v>
      </c>
      <c r="C8" s="11" t="s">
        <v>18</v>
      </c>
      <c r="D8" s="6">
        <f>17500*60*0.5</f>
        <v>525000</v>
      </c>
      <c r="E8" s="7" t="s">
        <v>9</v>
      </c>
      <c r="F8" s="7"/>
      <c r="G8" s="6">
        <f>D8*F8</f>
        <v>0</v>
      </c>
      <c r="H8" s="6"/>
    </row>
    <row r="9" spans="2:8" ht="21">
      <c r="B9" s="74" t="s">
        <v>19</v>
      </c>
      <c r="C9" s="75"/>
      <c r="D9" s="75"/>
      <c r="E9" s="75"/>
      <c r="F9" s="76"/>
      <c r="G9" s="1">
        <f>SUM(G4:G8)</f>
        <v>0</v>
      </c>
      <c r="H9" s="12"/>
    </row>
    <row r="10" spans="2:8" ht="69.75" customHeight="1">
      <c r="B10" s="81" t="s">
        <v>20</v>
      </c>
      <c r="C10" s="82"/>
      <c r="D10" s="82"/>
      <c r="E10" s="82"/>
      <c r="F10" s="82"/>
      <c r="G10" s="82"/>
      <c r="H10" s="82"/>
    </row>
  </sheetData>
  <mergeCells count="4">
    <mergeCell ref="B2:H2"/>
    <mergeCell ref="D3:E3"/>
    <mergeCell ref="B9:F9"/>
    <mergeCell ref="B10:H10"/>
  </mergeCells>
  <phoneticPr fontId="6"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793B4-2E4A-45F2-81E8-98764FA6D215}">
  <dimension ref="B1:J18"/>
  <sheetViews>
    <sheetView workbookViewId="0">
      <selection activeCell="G6" sqref="G6:G7"/>
    </sheetView>
  </sheetViews>
  <sheetFormatPr defaultRowHeight="12.75"/>
  <cols>
    <col min="1" max="1" width="3.28515625" customWidth="1"/>
    <col min="2" max="2" width="41.7109375" customWidth="1"/>
    <col min="3" max="3" width="49.42578125" customWidth="1"/>
    <col min="4" max="4" width="13.7109375" customWidth="1"/>
    <col min="5" max="5" width="10.7109375" customWidth="1"/>
    <col min="6" max="6" width="13.140625" customWidth="1"/>
    <col min="7" max="7" width="15" customWidth="1"/>
    <col min="8" max="8" width="17.28515625" customWidth="1"/>
    <col min="9" max="9" width="18.42578125" customWidth="1"/>
    <col min="10" max="10" width="24.7109375" customWidth="1"/>
  </cols>
  <sheetData>
    <row r="1" spans="2:10" ht="45" customHeight="1">
      <c r="B1" s="83" t="s">
        <v>0</v>
      </c>
      <c r="C1" s="83"/>
      <c r="D1" s="83"/>
      <c r="E1" s="83"/>
      <c r="F1" s="83"/>
      <c r="G1" s="83"/>
      <c r="H1" s="83"/>
      <c r="I1" s="83"/>
      <c r="J1" s="83"/>
    </row>
    <row r="2" spans="2:10" ht="36">
      <c r="B2" s="19" t="s">
        <v>1</v>
      </c>
      <c r="C2" s="19" t="s">
        <v>2</v>
      </c>
      <c r="D2" s="84" t="s">
        <v>3</v>
      </c>
      <c r="E2" s="84"/>
      <c r="F2" s="19" t="s">
        <v>4</v>
      </c>
      <c r="G2" s="19" t="s">
        <v>21</v>
      </c>
      <c r="H2" s="19" t="s">
        <v>22</v>
      </c>
      <c r="I2" s="19" t="s">
        <v>23</v>
      </c>
      <c r="J2" s="19" t="s">
        <v>6</v>
      </c>
    </row>
    <row r="3" spans="2:10" ht="90">
      <c r="B3" s="17" t="s">
        <v>62</v>
      </c>
      <c r="C3" s="20" t="s">
        <v>63</v>
      </c>
      <c r="D3" s="18">
        <v>10</v>
      </c>
      <c r="E3" s="17" t="s">
        <v>64</v>
      </c>
      <c r="F3" s="17"/>
      <c r="G3" s="17"/>
      <c r="H3" s="18">
        <f>F3*D3*G3</f>
        <v>0</v>
      </c>
      <c r="I3" s="18">
        <f>H3*12</f>
        <v>0</v>
      </c>
      <c r="J3" s="85" t="s">
        <v>118</v>
      </c>
    </row>
    <row r="4" spans="2:10" ht="144">
      <c r="B4" s="17" t="s">
        <v>65</v>
      </c>
      <c r="C4" s="20" t="s">
        <v>66</v>
      </c>
      <c r="D4" s="18">
        <v>40</v>
      </c>
      <c r="E4" s="17" t="s">
        <v>64</v>
      </c>
      <c r="F4" s="17"/>
      <c r="G4" s="17"/>
      <c r="H4" s="18">
        <f>F4*D4*G4</f>
        <v>0</v>
      </c>
      <c r="I4" s="18">
        <f>H4*12</f>
        <v>0</v>
      </c>
      <c r="J4" s="86"/>
    </row>
    <row r="5" spans="2:10" ht="36">
      <c r="B5" s="17" t="s">
        <v>67</v>
      </c>
      <c r="C5" s="20" t="s">
        <v>68</v>
      </c>
      <c r="D5" s="18">
        <v>6000</v>
      </c>
      <c r="E5" s="17" t="s">
        <v>69</v>
      </c>
      <c r="F5" s="17">
        <v>1</v>
      </c>
      <c r="G5" s="17"/>
      <c r="H5" s="18" t="s">
        <v>73</v>
      </c>
      <c r="I5" s="18">
        <f>D5*F5*G5</f>
        <v>0</v>
      </c>
      <c r="J5" s="87" t="s">
        <v>119</v>
      </c>
    </row>
    <row r="6" spans="2:10" ht="90">
      <c r="B6" s="17" t="s">
        <v>70</v>
      </c>
      <c r="C6" s="20" t="s">
        <v>63</v>
      </c>
      <c r="D6" s="18">
        <v>96</v>
      </c>
      <c r="E6" s="17" t="s">
        <v>71</v>
      </c>
      <c r="F6" s="17">
        <v>0</v>
      </c>
      <c r="G6" s="17"/>
      <c r="H6" s="18" t="s">
        <v>73</v>
      </c>
      <c r="I6" s="18">
        <f>D6*F6*G6</f>
        <v>0</v>
      </c>
      <c r="J6" s="88"/>
    </row>
    <row r="7" spans="2:10" ht="144">
      <c r="B7" s="17" t="s">
        <v>72</v>
      </c>
      <c r="C7" s="20" t="s">
        <v>66</v>
      </c>
      <c r="D7" s="18">
        <v>268</v>
      </c>
      <c r="E7" s="17" t="s">
        <v>71</v>
      </c>
      <c r="F7" s="17"/>
      <c r="G7" s="17"/>
      <c r="H7" s="18" t="s">
        <v>73</v>
      </c>
      <c r="I7" s="18">
        <f>D7*F7*G7</f>
        <v>0</v>
      </c>
      <c r="J7" s="89"/>
    </row>
    <row r="8" spans="2:10" ht="21">
      <c r="B8" s="74" t="s">
        <v>19</v>
      </c>
      <c r="C8" s="75"/>
      <c r="D8" s="75"/>
      <c r="E8" s="75"/>
      <c r="F8" s="76"/>
      <c r="G8" s="1"/>
      <c r="H8" s="1">
        <f>SUM(H3:H7)</f>
        <v>0</v>
      </c>
      <c r="I8" s="1">
        <f>SUM(I3:I7)</f>
        <v>0</v>
      </c>
      <c r="J8" s="1"/>
    </row>
    <row r="10" spans="2:10" ht="18.75">
      <c r="H10" s="40" t="s">
        <v>61</v>
      </c>
      <c r="I10" s="39">
        <f>I8*3</f>
        <v>0</v>
      </c>
    </row>
    <row r="14" spans="2:10">
      <c r="E14" s="41"/>
      <c r="I14" s="41"/>
    </row>
    <row r="15" spans="2:10">
      <c r="E15" s="41"/>
      <c r="I15" s="41"/>
    </row>
    <row r="16" spans="2:10">
      <c r="E16" s="41"/>
    </row>
    <row r="17" spans="5:8">
      <c r="E17" s="41"/>
      <c r="H17" s="41"/>
    </row>
    <row r="18" spans="5:8">
      <c r="E18" s="41"/>
      <c r="H18" s="41"/>
    </row>
  </sheetData>
  <mergeCells count="5">
    <mergeCell ref="B1:J1"/>
    <mergeCell ref="D2:E2"/>
    <mergeCell ref="J3:J4"/>
    <mergeCell ref="J5:J7"/>
    <mergeCell ref="B8:F8"/>
  </mergeCells>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D5F8-5DD5-495B-9B46-08053B3B7C88}">
  <dimension ref="B2:N8"/>
  <sheetViews>
    <sheetView zoomScale="85" zoomScaleNormal="85" workbookViewId="0">
      <selection activeCell="G24" sqref="G24"/>
    </sheetView>
  </sheetViews>
  <sheetFormatPr defaultRowHeight="14.25"/>
  <cols>
    <col min="1" max="1" width="4" style="21" customWidth="1"/>
    <col min="2" max="2" width="41.7109375" style="21" customWidth="1"/>
    <col min="3" max="3" width="49.42578125" style="31" customWidth="1"/>
    <col min="4" max="4" width="13.7109375" style="21" customWidth="1"/>
    <col min="5" max="5" width="10.7109375" style="21" customWidth="1"/>
    <col min="6" max="6" width="13.140625" style="21" customWidth="1"/>
    <col min="7" max="7" width="10.28515625" style="21" customWidth="1"/>
    <col min="8" max="9" width="15" style="21" customWidth="1"/>
    <col min="10" max="10" width="34.42578125" style="21" customWidth="1"/>
    <col min="11" max="11" width="11.42578125" style="21" bestFit="1" customWidth="1"/>
    <col min="12" max="12" width="59.42578125" style="21" customWidth="1"/>
    <col min="13" max="13" width="13.5703125" style="21" customWidth="1"/>
    <col min="14" max="16384" width="9.140625" style="21"/>
  </cols>
  <sheetData>
    <row r="2" spans="2:14" ht="42.6" customHeight="1">
      <c r="B2" s="90" t="s">
        <v>74</v>
      </c>
      <c r="C2" s="90"/>
      <c r="D2" s="90"/>
      <c r="E2" s="90"/>
      <c r="F2" s="90"/>
      <c r="G2" s="90"/>
      <c r="H2" s="90"/>
      <c r="I2" s="90"/>
      <c r="J2" s="90"/>
      <c r="K2" s="22"/>
      <c r="L2" s="22"/>
      <c r="M2" s="22"/>
      <c r="N2" s="22"/>
    </row>
    <row r="3" spans="2:14" ht="36">
      <c r="B3" s="23" t="s">
        <v>1</v>
      </c>
      <c r="C3" s="23" t="s">
        <v>2</v>
      </c>
      <c r="D3" s="91" t="s">
        <v>3</v>
      </c>
      <c r="E3" s="91"/>
      <c r="F3" s="23" t="s">
        <v>4</v>
      </c>
      <c r="G3" s="23" t="s">
        <v>21</v>
      </c>
      <c r="H3" s="23" t="s">
        <v>22</v>
      </c>
      <c r="I3" s="23" t="s">
        <v>23</v>
      </c>
      <c r="J3" s="24" t="s">
        <v>6</v>
      </c>
    </row>
    <row r="4" spans="2:14" ht="54">
      <c r="B4" s="25" t="s">
        <v>75</v>
      </c>
      <c r="C4" s="26" t="s">
        <v>76</v>
      </c>
      <c r="D4" s="27">
        <v>115</v>
      </c>
      <c r="E4" s="25" t="s">
        <v>26</v>
      </c>
      <c r="F4" s="25">
        <v>1</v>
      </c>
      <c r="G4" s="25">
        <v>0.8</v>
      </c>
      <c r="H4" s="28">
        <f>D4*F4*G4</f>
        <v>92</v>
      </c>
      <c r="I4" s="28">
        <f>H4*12</f>
        <v>1104</v>
      </c>
      <c r="J4" s="27" t="s">
        <v>79</v>
      </c>
    </row>
    <row r="5" spans="2:14" ht="54">
      <c r="B5" s="25" t="s">
        <v>77</v>
      </c>
      <c r="C5" s="26" t="s">
        <v>78</v>
      </c>
      <c r="D5" s="29">
        <v>332.5</v>
      </c>
      <c r="E5" s="25" t="s">
        <v>26</v>
      </c>
      <c r="F5" s="25">
        <v>1</v>
      </c>
      <c r="G5" s="25"/>
      <c r="H5" s="28"/>
      <c r="I5" s="28"/>
      <c r="J5" s="27"/>
    </row>
    <row r="6" spans="2:14" ht="21">
      <c r="B6" s="92" t="s">
        <v>19</v>
      </c>
      <c r="C6" s="93"/>
      <c r="D6" s="93"/>
      <c r="E6" s="93"/>
      <c r="F6" s="94"/>
      <c r="G6" s="95">
        <f>SUM(I4:I5)</f>
        <v>1104</v>
      </c>
      <c r="H6" s="95"/>
      <c r="I6" s="95"/>
      <c r="J6" s="30" t="s">
        <v>60</v>
      </c>
    </row>
    <row r="8" spans="2:14" ht="21">
      <c r="D8" s="96" t="s">
        <v>61</v>
      </c>
      <c r="E8" s="96"/>
      <c r="F8" s="96"/>
      <c r="G8" s="97">
        <f>SUM(I4:I5)*3</f>
        <v>3312</v>
      </c>
      <c r="H8" s="97"/>
      <c r="I8" s="97"/>
    </row>
  </sheetData>
  <mergeCells count="6">
    <mergeCell ref="B2:J2"/>
    <mergeCell ref="D3:E3"/>
    <mergeCell ref="B6:F6"/>
    <mergeCell ref="G6:I6"/>
    <mergeCell ref="D8:F8"/>
    <mergeCell ref="G8:I8"/>
  </mergeCells>
  <phoneticPr fontId="6"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12FA-42C8-4832-B739-2791E0FE5AE9}">
  <dimension ref="A1:I15"/>
  <sheetViews>
    <sheetView workbookViewId="0">
      <selection activeCell="H3" sqref="H3"/>
    </sheetView>
  </sheetViews>
  <sheetFormatPr defaultRowHeight="14.25"/>
  <cols>
    <col min="1" max="1" width="15" style="32" customWidth="1"/>
    <col min="2" max="2" width="23.5703125" style="32" customWidth="1"/>
    <col min="3" max="3" width="9.140625" style="32" customWidth="1"/>
    <col min="4" max="4" width="73.5703125" style="32" customWidth="1"/>
    <col min="5" max="5" width="31.42578125" style="32" customWidth="1"/>
    <col min="6" max="7" width="16.140625" style="32" customWidth="1"/>
    <col min="8" max="16384" width="9.140625" style="32"/>
  </cols>
  <sheetData>
    <row r="1" spans="1:9" ht="46.5" customHeight="1">
      <c r="A1" s="98" t="s">
        <v>80</v>
      </c>
      <c r="B1" s="98"/>
      <c r="C1" s="98"/>
      <c r="D1" s="98"/>
      <c r="E1" s="98"/>
      <c r="F1" s="98"/>
      <c r="G1" s="98"/>
      <c r="H1" s="98"/>
      <c r="I1" s="98"/>
    </row>
    <row r="2" spans="1:9" ht="21">
      <c r="A2" s="33" t="s">
        <v>81</v>
      </c>
      <c r="B2" s="33" t="s">
        <v>1</v>
      </c>
      <c r="C2" s="33" t="s">
        <v>2</v>
      </c>
      <c r="D2" s="33" t="s">
        <v>82</v>
      </c>
      <c r="E2" s="99" t="s">
        <v>3</v>
      </c>
      <c r="F2" s="99"/>
      <c r="G2" s="33" t="s">
        <v>83</v>
      </c>
      <c r="H2" s="33" t="s">
        <v>84</v>
      </c>
      <c r="I2" s="33" t="s">
        <v>85</v>
      </c>
    </row>
    <row r="3" spans="1:9" ht="54">
      <c r="A3" s="100" t="s">
        <v>86</v>
      </c>
      <c r="B3" s="34" t="s">
        <v>87</v>
      </c>
      <c r="C3" s="34" t="s">
        <v>88</v>
      </c>
      <c r="D3" s="34" t="s">
        <v>89</v>
      </c>
      <c r="E3" s="34" t="s">
        <v>90</v>
      </c>
      <c r="F3" s="34" t="s">
        <v>26</v>
      </c>
      <c r="G3" s="34">
        <v>0.8</v>
      </c>
      <c r="H3" s="35">
        <v>31</v>
      </c>
      <c r="I3" s="35">
        <f>31*(40*5)*G3</f>
        <v>4960</v>
      </c>
    </row>
    <row r="4" spans="1:9" ht="18">
      <c r="A4" s="101"/>
      <c r="B4" s="34" t="s">
        <v>91</v>
      </c>
      <c r="C4" s="34" t="s">
        <v>92</v>
      </c>
      <c r="D4" s="34" t="s">
        <v>93</v>
      </c>
      <c r="E4" s="34">
        <v>150</v>
      </c>
      <c r="F4" s="34" t="s">
        <v>26</v>
      </c>
      <c r="G4" s="34">
        <v>0.8</v>
      </c>
      <c r="H4" s="35">
        <v>31</v>
      </c>
      <c r="I4" s="35">
        <f t="shared" ref="I4" si="0">E4*G4*H4</f>
        <v>3720</v>
      </c>
    </row>
    <row r="5" spans="1:9" ht="18">
      <c r="A5" s="101"/>
      <c r="B5" s="34" t="s">
        <v>94</v>
      </c>
      <c r="C5" s="34" t="s">
        <v>92</v>
      </c>
      <c r="D5" s="34" t="s">
        <v>95</v>
      </c>
      <c r="E5" s="34">
        <v>300</v>
      </c>
      <c r="F5" s="34" t="s">
        <v>26</v>
      </c>
      <c r="G5" s="34">
        <v>0.8</v>
      </c>
      <c r="H5" s="35"/>
      <c r="I5" s="35"/>
    </row>
    <row r="6" spans="1:9" ht="18">
      <c r="A6" s="102"/>
      <c r="B6" s="34" t="s">
        <v>96</v>
      </c>
      <c r="C6" s="34" t="s">
        <v>92</v>
      </c>
      <c r="D6" s="34" t="s">
        <v>97</v>
      </c>
      <c r="E6" s="34">
        <v>500</v>
      </c>
      <c r="F6" s="34" t="s">
        <v>26</v>
      </c>
      <c r="G6" s="34">
        <v>0.8</v>
      </c>
      <c r="H6" s="35"/>
      <c r="I6" s="35"/>
    </row>
    <row r="7" spans="1:9" ht="18">
      <c r="A7" s="100" t="s">
        <v>98</v>
      </c>
      <c r="B7" s="34" t="s">
        <v>99</v>
      </c>
      <c r="C7" s="34" t="s">
        <v>92</v>
      </c>
      <c r="D7" s="34" t="s">
        <v>100</v>
      </c>
      <c r="E7" s="34">
        <v>30000</v>
      </c>
      <c r="F7" s="34" t="s">
        <v>101</v>
      </c>
      <c r="G7" s="34">
        <v>0.8</v>
      </c>
      <c r="H7" s="35"/>
      <c r="I7" s="35"/>
    </row>
    <row r="8" spans="1:9" ht="36">
      <c r="A8" s="101"/>
      <c r="B8" s="34" t="s">
        <v>102</v>
      </c>
      <c r="C8" s="34" t="s">
        <v>92</v>
      </c>
      <c r="D8" s="34" t="s">
        <v>103</v>
      </c>
      <c r="E8" s="34">
        <v>80000</v>
      </c>
      <c r="F8" s="34" t="s">
        <v>101</v>
      </c>
      <c r="G8" s="34">
        <v>0.8</v>
      </c>
      <c r="H8" s="35"/>
      <c r="I8" s="35">
        <f t="shared" ref="I8:I10" si="1">E8*G8*H8</f>
        <v>0</v>
      </c>
    </row>
    <row r="9" spans="1:9" ht="36">
      <c r="A9" s="101"/>
      <c r="B9" s="34" t="s">
        <v>104</v>
      </c>
      <c r="C9" s="34" t="s">
        <v>92</v>
      </c>
      <c r="D9" s="34" t="s">
        <v>105</v>
      </c>
      <c r="E9" s="34">
        <v>200000</v>
      </c>
      <c r="F9" s="34" t="s">
        <v>101</v>
      </c>
      <c r="G9" s="34">
        <v>0.8</v>
      </c>
      <c r="H9" s="35"/>
      <c r="I9" s="35">
        <f t="shared" si="1"/>
        <v>0</v>
      </c>
    </row>
    <row r="10" spans="1:9" ht="18">
      <c r="A10" s="101"/>
      <c r="B10" s="34" t="s">
        <v>106</v>
      </c>
      <c r="C10" s="34" t="s">
        <v>107</v>
      </c>
      <c r="D10" s="34" t="s">
        <v>108</v>
      </c>
      <c r="E10" s="34">
        <v>2000</v>
      </c>
      <c r="F10" s="34" t="s">
        <v>101</v>
      </c>
      <c r="G10" s="34">
        <v>0.8</v>
      </c>
      <c r="H10" s="35"/>
      <c r="I10" s="35">
        <f t="shared" si="1"/>
        <v>0</v>
      </c>
    </row>
    <row r="11" spans="1:9" ht="18">
      <c r="A11" s="101"/>
      <c r="B11" s="34" t="s">
        <v>109</v>
      </c>
      <c r="C11" s="34" t="s">
        <v>110</v>
      </c>
      <c r="D11" s="34" t="s">
        <v>111</v>
      </c>
      <c r="E11" s="34" t="s">
        <v>112</v>
      </c>
      <c r="F11" s="34" t="s">
        <v>113</v>
      </c>
      <c r="G11" s="34" t="s">
        <v>110</v>
      </c>
      <c r="H11" s="35"/>
      <c r="I11" s="35"/>
    </row>
    <row r="12" spans="1:9" ht="18">
      <c r="A12" s="102"/>
      <c r="B12" s="34" t="s">
        <v>114</v>
      </c>
      <c r="C12" s="34" t="s">
        <v>110</v>
      </c>
      <c r="D12" s="34" t="s">
        <v>115</v>
      </c>
      <c r="E12" s="34">
        <v>2000</v>
      </c>
      <c r="F12" s="34" t="s">
        <v>116</v>
      </c>
      <c r="G12" s="34" t="s">
        <v>110</v>
      </c>
      <c r="H12" s="35"/>
      <c r="I12" s="35">
        <f>E12*H12</f>
        <v>0</v>
      </c>
    </row>
    <row r="13" spans="1:9" ht="18">
      <c r="A13" s="36"/>
      <c r="B13" s="103" t="s">
        <v>19</v>
      </c>
      <c r="C13" s="104"/>
      <c r="D13" s="105"/>
      <c r="E13" s="106">
        <f>SUM(I3:I12)</f>
        <v>8680</v>
      </c>
      <c r="F13" s="104"/>
      <c r="G13" s="104"/>
      <c r="H13" s="104"/>
      <c r="I13" s="105"/>
    </row>
    <row r="15" spans="1:9" ht="30" customHeight="1">
      <c r="E15" s="37" t="s">
        <v>117</v>
      </c>
      <c r="F15" s="38">
        <f>E13*0.2</f>
        <v>1736</v>
      </c>
    </row>
  </sheetData>
  <mergeCells count="6">
    <mergeCell ref="A1:I1"/>
    <mergeCell ref="E2:F2"/>
    <mergeCell ref="A3:A6"/>
    <mergeCell ref="A7:A12"/>
    <mergeCell ref="B13:D13"/>
    <mergeCell ref="E13:I13"/>
  </mergeCells>
  <phoneticPr fontId="6"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C349-764F-4B61-AEF5-E672C06D5440}">
  <dimension ref="A1:M46"/>
  <sheetViews>
    <sheetView zoomScale="63" zoomScaleNormal="63" workbookViewId="0">
      <pane ySplit="1" topLeftCell="A2" activePane="bottomLeft" state="frozen"/>
      <selection pane="bottomLeft" activeCell="G3" sqref="G3"/>
    </sheetView>
  </sheetViews>
  <sheetFormatPr defaultColWidth="11.7109375" defaultRowHeight="14.25"/>
  <cols>
    <col min="1" max="1" width="12.28515625" style="52" customWidth="1"/>
    <col min="2" max="2" width="22.28515625" style="42" customWidth="1"/>
    <col min="3" max="3" width="22.140625" style="42" customWidth="1"/>
    <col min="4" max="4" width="154.140625" style="53" customWidth="1"/>
    <col min="5" max="5" width="12.85546875" style="53" customWidth="1"/>
    <col min="6" max="12" width="11.7109375" style="42"/>
    <col min="13" max="13" width="13.5703125" style="42" customWidth="1"/>
    <col min="14" max="16384" width="11.7109375" style="42"/>
  </cols>
  <sheetData>
    <row r="1" spans="1:13" ht="50.25" customHeight="1">
      <c r="A1" s="57" t="s">
        <v>120</v>
      </c>
      <c r="B1" s="58" t="s">
        <v>121</v>
      </c>
      <c r="C1" s="59" t="s">
        <v>122</v>
      </c>
      <c r="D1" s="59" t="s">
        <v>123</v>
      </c>
      <c r="E1" s="60" t="s">
        <v>213</v>
      </c>
      <c r="F1" s="61" t="s">
        <v>124</v>
      </c>
      <c r="G1" s="62" t="s">
        <v>125</v>
      </c>
      <c r="H1" s="63" t="s">
        <v>126</v>
      </c>
      <c r="I1" s="64" t="s">
        <v>127</v>
      </c>
      <c r="J1" s="65" t="s">
        <v>128</v>
      </c>
      <c r="K1" s="66" t="s">
        <v>129</v>
      </c>
      <c r="L1" s="67" t="s">
        <v>130</v>
      </c>
      <c r="M1" s="68" t="s">
        <v>131</v>
      </c>
    </row>
    <row r="2" spans="1:13" ht="65.099999999999994" customHeight="1">
      <c r="A2" s="111">
        <v>1</v>
      </c>
      <c r="B2" s="114" t="s">
        <v>132</v>
      </c>
      <c r="C2" s="43" t="s">
        <v>133</v>
      </c>
      <c r="D2" s="44" t="s">
        <v>134</v>
      </c>
      <c r="E2" s="45" t="s">
        <v>135</v>
      </c>
      <c r="F2" s="45" t="s">
        <v>135</v>
      </c>
      <c r="G2" s="45" t="s">
        <v>135</v>
      </c>
      <c r="H2" s="45" t="s">
        <v>135</v>
      </c>
      <c r="I2" s="45" t="s">
        <v>135</v>
      </c>
      <c r="J2" s="46"/>
      <c r="K2" s="46"/>
      <c r="L2" s="46"/>
      <c r="M2" s="46"/>
    </row>
    <row r="3" spans="1:13" ht="50.1" customHeight="1">
      <c r="A3" s="112"/>
      <c r="B3" s="115"/>
      <c r="C3" s="43" t="s">
        <v>136</v>
      </c>
      <c r="D3" s="44" t="s">
        <v>137</v>
      </c>
      <c r="E3" s="45" t="s">
        <v>135</v>
      </c>
      <c r="F3" s="45" t="s">
        <v>135</v>
      </c>
      <c r="G3" s="45" t="s">
        <v>135</v>
      </c>
      <c r="H3" s="45" t="s">
        <v>135</v>
      </c>
      <c r="I3" s="45" t="s">
        <v>135</v>
      </c>
      <c r="J3" s="46"/>
      <c r="K3" s="46"/>
      <c r="L3" s="46"/>
      <c r="M3" s="46"/>
    </row>
    <row r="4" spans="1:13" ht="84.95" customHeight="1">
      <c r="A4" s="112"/>
      <c r="B4" s="115"/>
      <c r="C4" s="43" t="s">
        <v>138</v>
      </c>
      <c r="D4" s="44" t="s">
        <v>139</v>
      </c>
      <c r="E4" s="45" t="s">
        <v>135</v>
      </c>
      <c r="F4" s="45" t="s">
        <v>135</v>
      </c>
      <c r="G4" s="45" t="s">
        <v>135</v>
      </c>
      <c r="H4" s="45" t="s">
        <v>135</v>
      </c>
      <c r="I4" s="45" t="s">
        <v>135</v>
      </c>
      <c r="J4" s="46"/>
      <c r="K4" s="46"/>
      <c r="L4" s="46"/>
      <c r="M4" s="46"/>
    </row>
    <row r="5" spans="1:13" ht="51.95" customHeight="1">
      <c r="A5" s="112"/>
      <c r="B5" s="115"/>
      <c r="C5" s="43" t="s">
        <v>140</v>
      </c>
      <c r="D5" s="44" t="s">
        <v>141</v>
      </c>
      <c r="E5" s="45" t="s">
        <v>135</v>
      </c>
      <c r="F5" s="45" t="s">
        <v>135</v>
      </c>
      <c r="G5" s="45" t="s">
        <v>135</v>
      </c>
      <c r="H5" s="45" t="s">
        <v>135</v>
      </c>
      <c r="I5" s="45" t="s">
        <v>135</v>
      </c>
      <c r="J5" s="46"/>
      <c r="K5" s="46"/>
      <c r="L5" s="46"/>
      <c r="M5" s="46"/>
    </row>
    <row r="6" spans="1:13" ht="48" customHeight="1">
      <c r="A6" s="112"/>
      <c r="B6" s="115"/>
      <c r="C6" s="43" t="s">
        <v>142</v>
      </c>
      <c r="D6" s="44" t="s">
        <v>143</v>
      </c>
      <c r="E6" s="45" t="s">
        <v>135</v>
      </c>
      <c r="F6" s="45" t="s">
        <v>135</v>
      </c>
      <c r="G6" s="45" t="s">
        <v>135</v>
      </c>
      <c r="H6" s="45" t="s">
        <v>135</v>
      </c>
      <c r="I6" s="45" t="s">
        <v>135</v>
      </c>
      <c r="J6" s="46"/>
      <c r="K6" s="46"/>
      <c r="L6" s="46"/>
      <c r="M6" s="46"/>
    </row>
    <row r="7" spans="1:13" ht="48" customHeight="1">
      <c r="A7" s="112"/>
      <c r="B7" s="115"/>
      <c r="C7" s="43" t="s">
        <v>144</v>
      </c>
      <c r="D7" s="44" t="s">
        <v>145</v>
      </c>
      <c r="E7" s="45" t="s">
        <v>135</v>
      </c>
      <c r="F7" s="45" t="s">
        <v>135</v>
      </c>
      <c r="G7" s="45" t="s">
        <v>135</v>
      </c>
      <c r="H7" s="45" t="s">
        <v>135</v>
      </c>
      <c r="I7" s="45" t="s">
        <v>135</v>
      </c>
      <c r="J7" s="46"/>
      <c r="K7" s="46"/>
      <c r="L7" s="46"/>
      <c r="M7" s="46"/>
    </row>
    <row r="8" spans="1:13" ht="48" customHeight="1">
      <c r="A8" s="112"/>
      <c r="B8" s="115"/>
      <c r="C8" s="43" t="s">
        <v>146</v>
      </c>
      <c r="D8" s="44" t="s">
        <v>147</v>
      </c>
      <c r="E8" s="45" t="s">
        <v>135</v>
      </c>
      <c r="F8" s="45" t="s">
        <v>135</v>
      </c>
      <c r="G8" s="45" t="s">
        <v>135</v>
      </c>
      <c r="H8" s="45" t="s">
        <v>135</v>
      </c>
      <c r="I8" s="45" t="s">
        <v>135</v>
      </c>
      <c r="J8" s="46"/>
      <c r="K8" s="46"/>
      <c r="L8" s="46"/>
      <c r="M8" s="46"/>
    </row>
    <row r="9" spans="1:13" ht="48" customHeight="1">
      <c r="A9" s="112"/>
      <c r="B9" s="115"/>
      <c r="C9" s="43" t="s">
        <v>148</v>
      </c>
      <c r="D9" s="44" t="s">
        <v>149</v>
      </c>
      <c r="E9" s="45" t="s">
        <v>135</v>
      </c>
      <c r="F9" s="45" t="s">
        <v>135</v>
      </c>
      <c r="G9" s="45" t="s">
        <v>135</v>
      </c>
      <c r="H9" s="45" t="s">
        <v>135</v>
      </c>
      <c r="I9" s="45" t="s">
        <v>135</v>
      </c>
      <c r="J9" s="46"/>
      <c r="K9" s="46"/>
      <c r="L9" s="46"/>
      <c r="M9" s="46"/>
    </row>
    <row r="10" spans="1:13" ht="48" customHeight="1">
      <c r="A10" s="112"/>
      <c r="B10" s="115"/>
      <c r="C10" s="43" t="s">
        <v>150</v>
      </c>
      <c r="D10" s="44" t="s">
        <v>151</v>
      </c>
      <c r="E10" s="45" t="s">
        <v>135</v>
      </c>
      <c r="F10" s="45" t="s">
        <v>135</v>
      </c>
      <c r="G10" s="45" t="s">
        <v>135</v>
      </c>
      <c r="H10" s="45" t="s">
        <v>135</v>
      </c>
      <c r="I10" s="45" t="s">
        <v>135</v>
      </c>
      <c r="J10" s="46"/>
      <c r="K10" s="46"/>
      <c r="L10" s="46"/>
      <c r="M10" s="46"/>
    </row>
    <row r="11" spans="1:13" ht="105" customHeight="1">
      <c r="A11" s="112"/>
      <c r="B11" s="115"/>
      <c r="C11" s="43" t="s">
        <v>152</v>
      </c>
      <c r="D11" s="44" t="s">
        <v>153</v>
      </c>
      <c r="E11" s="45" t="s">
        <v>135</v>
      </c>
      <c r="F11" s="45" t="s">
        <v>135</v>
      </c>
      <c r="G11" s="45" t="s">
        <v>135</v>
      </c>
      <c r="H11" s="45" t="s">
        <v>135</v>
      </c>
      <c r="I11" s="45" t="s">
        <v>135</v>
      </c>
      <c r="J11" s="46"/>
      <c r="K11" s="46"/>
      <c r="L11" s="46"/>
      <c r="M11" s="46"/>
    </row>
    <row r="12" spans="1:13" ht="105" customHeight="1">
      <c r="A12" s="112"/>
      <c r="B12" s="115"/>
      <c r="C12" s="43" t="s">
        <v>154</v>
      </c>
      <c r="D12" s="44" t="s">
        <v>155</v>
      </c>
      <c r="E12" s="45" t="s">
        <v>135</v>
      </c>
      <c r="F12" s="45" t="s">
        <v>135</v>
      </c>
      <c r="G12" s="45" t="s">
        <v>135</v>
      </c>
      <c r="H12" s="45" t="s">
        <v>135</v>
      </c>
      <c r="I12" s="45" t="s">
        <v>135</v>
      </c>
      <c r="J12" s="46"/>
      <c r="K12" s="46"/>
      <c r="L12" s="46"/>
      <c r="M12" s="46"/>
    </row>
    <row r="13" spans="1:13" ht="75" customHeight="1">
      <c r="A13" s="113"/>
      <c r="B13" s="116"/>
      <c r="C13" s="43" t="s">
        <v>156</v>
      </c>
      <c r="D13" s="44" t="s">
        <v>157</v>
      </c>
      <c r="E13" s="45" t="s">
        <v>135</v>
      </c>
      <c r="F13" s="45" t="s">
        <v>135</v>
      </c>
      <c r="G13" s="45" t="s">
        <v>135</v>
      </c>
      <c r="H13" s="45" t="s">
        <v>135</v>
      </c>
      <c r="I13" s="45" t="s">
        <v>135</v>
      </c>
      <c r="J13" s="46"/>
      <c r="K13" s="46"/>
      <c r="L13" s="46"/>
      <c r="M13" s="46"/>
    </row>
    <row r="14" spans="1:13" ht="168.95" customHeight="1">
      <c r="A14" s="47">
        <v>2</v>
      </c>
      <c r="B14" s="48" t="s">
        <v>158</v>
      </c>
      <c r="C14" s="43" t="s">
        <v>159</v>
      </c>
      <c r="D14" s="44" t="s">
        <v>160</v>
      </c>
      <c r="E14" s="46"/>
      <c r="F14" s="45" t="s">
        <v>135</v>
      </c>
      <c r="G14" s="45" t="s">
        <v>135</v>
      </c>
      <c r="H14" s="45" t="s">
        <v>135</v>
      </c>
      <c r="I14" s="45" t="s">
        <v>135</v>
      </c>
      <c r="J14" s="46"/>
      <c r="K14" s="46"/>
      <c r="L14" s="46"/>
      <c r="M14" s="46"/>
    </row>
    <row r="15" spans="1:13" ht="44.1" customHeight="1">
      <c r="A15" s="117">
        <v>3</v>
      </c>
      <c r="B15" s="119" t="s">
        <v>161</v>
      </c>
      <c r="C15" s="43" t="s">
        <v>162</v>
      </c>
      <c r="D15" s="44" t="s">
        <v>163</v>
      </c>
      <c r="E15" s="46"/>
      <c r="F15" s="45" t="s">
        <v>135</v>
      </c>
      <c r="G15" s="45" t="s">
        <v>135</v>
      </c>
      <c r="H15" s="45" t="s">
        <v>135</v>
      </c>
      <c r="I15" s="45" t="s">
        <v>135</v>
      </c>
      <c r="J15" s="45" t="s">
        <v>135</v>
      </c>
      <c r="K15" s="45" t="s">
        <v>135</v>
      </c>
      <c r="L15" s="45" t="s">
        <v>135</v>
      </c>
      <c r="M15" s="45" t="s">
        <v>135</v>
      </c>
    </row>
    <row r="16" spans="1:13" ht="39.950000000000003" customHeight="1">
      <c r="A16" s="118"/>
      <c r="B16" s="120"/>
      <c r="C16" s="43" t="s">
        <v>164</v>
      </c>
      <c r="D16" s="44" t="s">
        <v>165</v>
      </c>
      <c r="E16" s="46"/>
      <c r="F16" s="45" t="s">
        <v>135</v>
      </c>
      <c r="G16" s="45" t="s">
        <v>135</v>
      </c>
      <c r="H16" s="45" t="s">
        <v>135</v>
      </c>
      <c r="I16" s="45" t="s">
        <v>135</v>
      </c>
      <c r="J16" s="45"/>
      <c r="K16" s="45"/>
      <c r="L16" s="46"/>
      <c r="M16" s="45" t="s">
        <v>135</v>
      </c>
    </row>
    <row r="17" spans="1:13" ht="38.1" customHeight="1">
      <c r="A17" s="118"/>
      <c r="B17" s="120"/>
      <c r="C17" s="43" t="s">
        <v>166</v>
      </c>
      <c r="D17" s="44" t="s">
        <v>167</v>
      </c>
      <c r="E17" s="46"/>
      <c r="F17" s="45" t="s">
        <v>135</v>
      </c>
      <c r="G17" s="45" t="s">
        <v>135</v>
      </c>
      <c r="H17" s="45" t="s">
        <v>135</v>
      </c>
      <c r="I17" s="45" t="s">
        <v>135</v>
      </c>
      <c r="J17" s="45"/>
      <c r="K17" s="45"/>
      <c r="L17" s="46"/>
      <c r="M17" s="45" t="s">
        <v>135</v>
      </c>
    </row>
    <row r="18" spans="1:13" ht="38.1" customHeight="1">
      <c r="A18" s="118"/>
      <c r="B18" s="120"/>
      <c r="C18" s="43" t="s">
        <v>168</v>
      </c>
      <c r="D18" s="44" t="s">
        <v>169</v>
      </c>
      <c r="E18" s="44"/>
      <c r="F18" s="45" t="s">
        <v>135</v>
      </c>
      <c r="G18" s="45" t="s">
        <v>135</v>
      </c>
      <c r="H18" s="45" t="s">
        <v>135</v>
      </c>
      <c r="I18" s="45" t="s">
        <v>135</v>
      </c>
      <c r="J18" s="45"/>
      <c r="K18" s="45"/>
      <c r="L18" s="46"/>
      <c r="M18" s="45" t="s">
        <v>135</v>
      </c>
    </row>
    <row r="19" spans="1:13" ht="59.1" customHeight="1">
      <c r="A19" s="118"/>
      <c r="B19" s="120"/>
      <c r="C19" s="43" t="s">
        <v>170</v>
      </c>
      <c r="D19" s="44" t="s">
        <v>171</v>
      </c>
      <c r="E19" s="44"/>
      <c r="F19" s="45" t="s">
        <v>135</v>
      </c>
      <c r="G19" s="45" t="s">
        <v>135</v>
      </c>
      <c r="H19" s="45" t="s">
        <v>135</v>
      </c>
      <c r="I19" s="45" t="s">
        <v>135</v>
      </c>
      <c r="J19" s="45"/>
      <c r="K19" s="45"/>
      <c r="L19" s="46"/>
      <c r="M19" s="45" t="s">
        <v>135</v>
      </c>
    </row>
    <row r="20" spans="1:13" ht="90" customHeight="1">
      <c r="A20" s="118"/>
      <c r="B20" s="120"/>
      <c r="C20" s="43" t="s">
        <v>172</v>
      </c>
      <c r="D20" s="44" t="s">
        <v>173</v>
      </c>
      <c r="E20" s="44"/>
      <c r="F20" s="45" t="s">
        <v>135</v>
      </c>
      <c r="G20" s="45" t="s">
        <v>135</v>
      </c>
      <c r="H20" s="45" t="s">
        <v>135</v>
      </c>
      <c r="I20" s="45" t="s">
        <v>135</v>
      </c>
      <c r="J20" s="45" t="s">
        <v>135</v>
      </c>
      <c r="K20" s="45" t="s">
        <v>135</v>
      </c>
      <c r="L20" s="45" t="s">
        <v>135</v>
      </c>
      <c r="M20" s="45" t="s">
        <v>135</v>
      </c>
    </row>
    <row r="21" spans="1:13" ht="48" customHeight="1">
      <c r="A21" s="111">
        <v>4</v>
      </c>
      <c r="B21" s="114" t="s">
        <v>174</v>
      </c>
      <c r="C21" s="43" t="s">
        <v>175</v>
      </c>
      <c r="D21" s="44" t="s">
        <v>176</v>
      </c>
      <c r="E21" s="44"/>
      <c r="F21" s="46"/>
      <c r="G21" s="45" t="s">
        <v>135</v>
      </c>
      <c r="H21" s="45" t="s">
        <v>135</v>
      </c>
      <c r="I21" s="45" t="s">
        <v>135</v>
      </c>
      <c r="J21" s="45"/>
      <c r="K21" s="46"/>
      <c r="L21" s="46"/>
      <c r="M21" s="46"/>
    </row>
    <row r="22" spans="1:13" ht="32.1" customHeight="1">
      <c r="A22" s="112"/>
      <c r="B22" s="115"/>
      <c r="C22" s="43" t="s">
        <v>177</v>
      </c>
      <c r="D22" s="44" t="s">
        <v>178</v>
      </c>
      <c r="E22" s="44"/>
      <c r="F22" s="46"/>
      <c r="G22" s="45" t="s">
        <v>135</v>
      </c>
      <c r="H22" s="45" t="s">
        <v>135</v>
      </c>
      <c r="I22" s="45" t="s">
        <v>135</v>
      </c>
      <c r="J22" s="45" t="s">
        <v>135</v>
      </c>
      <c r="K22" s="46"/>
      <c r="L22" s="45" t="s">
        <v>135</v>
      </c>
      <c r="M22" s="45" t="s">
        <v>135</v>
      </c>
    </row>
    <row r="23" spans="1:13" ht="51" customHeight="1">
      <c r="A23" s="112"/>
      <c r="B23" s="115"/>
      <c r="C23" s="43" t="s">
        <v>179</v>
      </c>
      <c r="D23" s="44" t="s">
        <v>180</v>
      </c>
      <c r="E23" s="44"/>
      <c r="F23" s="46"/>
      <c r="G23" s="45" t="s">
        <v>135</v>
      </c>
      <c r="H23" s="45" t="s">
        <v>135</v>
      </c>
      <c r="I23" s="45" t="s">
        <v>135</v>
      </c>
      <c r="J23" s="45" t="s">
        <v>135</v>
      </c>
      <c r="K23" s="46"/>
      <c r="L23" s="45" t="s">
        <v>135</v>
      </c>
      <c r="M23" s="45" t="s">
        <v>135</v>
      </c>
    </row>
    <row r="24" spans="1:13" ht="47.1" customHeight="1">
      <c r="A24" s="112"/>
      <c r="B24" s="115"/>
      <c r="C24" s="49" t="s">
        <v>181</v>
      </c>
      <c r="D24" s="50" t="s">
        <v>182</v>
      </c>
      <c r="E24" s="44"/>
      <c r="F24" s="46"/>
      <c r="G24" s="45" t="s">
        <v>135</v>
      </c>
      <c r="H24" s="45" t="s">
        <v>135</v>
      </c>
      <c r="I24" s="45" t="s">
        <v>135</v>
      </c>
      <c r="J24" s="46"/>
      <c r="K24" s="46"/>
      <c r="L24" s="45" t="s">
        <v>135</v>
      </c>
      <c r="M24" s="46"/>
    </row>
    <row r="25" spans="1:13" ht="66" customHeight="1">
      <c r="A25" s="112"/>
      <c r="B25" s="115"/>
      <c r="C25" s="43" t="s">
        <v>183</v>
      </c>
      <c r="D25" s="44" t="s">
        <v>184</v>
      </c>
      <c r="E25" s="44"/>
      <c r="F25" s="46"/>
      <c r="G25" s="46"/>
      <c r="H25" s="45" t="s">
        <v>135</v>
      </c>
      <c r="I25" s="45" t="s">
        <v>135</v>
      </c>
      <c r="J25" s="46"/>
      <c r="K25" s="46"/>
      <c r="L25" s="45" t="s">
        <v>135</v>
      </c>
      <c r="M25" s="46"/>
    </row>
    <row r="26" spans="1:13" ht="36" customHeight="1">
      <c r="A26" s="121">
        <v>5</v>
      </c>
      <c r="B26" s="122" t="s">
        <v>185</v>
      </c>
      <c r="C26" s="43" t="s">
        <v>186</v>
      </c>
      <c r="D26" s="44" t="s">
        <v>187</v>
      </c>
      <c r="E26" s="44"/>
      <c r="F26" s="46"/>
      <c r="G26" s="46"/>
      <c r="H26" s="46"/>
      <c r="I26" s="45" t="s">
        <v>135</v>
      </c>
      <c r="J26" s="46"/>
      <c r="K26" s="45" t="s">
        <v>135</v>
      </c>
      <c r="L26" s="46"/>
      <c r="M26" s="46"/>
    </row>
    <row r="27" spans="1:13" ht="36" customHeight="1">
      <c r="A27" s="121"/>
      <c r="B27" s="122"/>
      <c r="C27" s="43" t="s">
        <v>188</v>
      </c>
      <c r="D27" s="44" t="s">
        <v>189</v>
      </c>
      <c r="E27" s="44"/>
      <c r="F27" s="46"/>
      <c r="G27" s="46"/>
      <c r="H27" s="46"/>
      <c r="I27" s="45" t="s">
        <v>135</v>
      </c>
      <c r="J27" s="46"/>
      <c r="K27" s="45" t="s">
        <v>135</v>
      </c>
      <c r="L27" s="46"/>
      <c r="M27" s="46"/>
    </row>
    <row r="28" spans="1:13" ht="43.5">
      <c r="A28" s="121"/>
      <c r="B28" s="122"/>
      <c r="C28" s="43" t="s">
        <v>190</v>
      </c>
      <c r="D28" s="44" t="s">
        <v>191</v>
      </c>
      <c r="E28" s="44"/>
      <c r="F28" s="46"/>
      <c r="G28" s="46"/>
      <c r="H28" s="46"/>
      <c r="I28" s="45" t="s">
        <v>135</v>
      </c>
      <c r="J28" s="46"/>
      <c r="K28" s="45" t="s">
        <v>135</v>
      </c>
      <c r="L28" s="46"/>
      <c r="M28" s="46"/>
    </row>
    <row r="29" spans="1:13" ht="50.1" customHeight="1">
      <c r="A29" s="121"/>
      <c r="B29" s="122"/>
      <c r="C29" s="43" t="s">
        <v>192</v>
      </c>
      <c r="D29" s="44" t="s">
        <v>193</v>
      </c>
      <c r="E29" s="44"/>
      <c r="F29" s="46"/>
      <c r="G29" s="46"/>
      <c r="H29" s="46"/>
      <c r="I29" s="45" t="s">
        <v>135</v>
      </c>
      <c r="J29" s="46"/>
      <c r="K29" s="45" t="s">
        <v>135</v>
      </c>
      <c r="L29" s="46"/>
      <c r="M29" s="46"/>
    </row>
    <row r="30" spans="1:13" ht="33" customHeight="1">
      <c r="A30" s="121"/>
      <c r="B30" s="122"/>
      <c r="C30" s="43" t="s">
        <v>194</v>
      </c>
      <c r="D30" s="44" t="s">
        <v>195</v>
      </c>
      <c r="E30" s="44"/>
      <c r="F30" s="46"/>
      <c r="G30" s="46"/>
      <c r="H30" s="46"/>
      <c r="I30" s="45" t="s">
        <v>135</v>
      </c>
      <c r="J30" s="46"/>
      <c r="K30" s="45" t="s">
        <v>135</v>
      </c>
      <c r="L30" s="46"/>
      <c r="M30" s="46"/>
    </row>
    <row r="31" spans="1:13" ht="48.95" customHeight="1">
      <c r="A31" s="121"/>
      <c r="B31" s="122"/>
      <c r="C31" s="43" t="s">
        <v>196</v>
      </c>
      <c r="D31" s="44" t="s">
        <v>197</v>
      </c>
      <c r="E31" s="44"/>
      <c r="F31" s="46"/>
      <c r="G31" s="46"/>
      <c r="H31" s="46"/>
      <c r="I31" s="45" t="s">
        <v>135</v>
      </c>
      <c r="J31" s="46"/>
      <c r="K31" s="45" t="s">
        <v>135</v>
      </c>
      <c r="L31" s="46"/>
      <c r="M31" s="46"/>
    </row>
    <row r="32" spans="1:13" ht="59.1" customHeight="1">
      <c r="A32" s="121"/>
      <c r="B32" s="122"/>
      <c r="C32" s="43" t="s">
        <v>198</v>
      </c>
      <c r="D32" s="44" t="s">
        <v>199</v>
      </c>
      <c r="E32" s="44"/>
      <c r="F32" s="46"/>
      <c r="G32" s="46"/>
      <c r="H32" s="46"/>
      <c r="I32" s="45" t="s">
        <v>135</v>
      </c>
      <c r="J32" s="46"/>
      <c r="K32" s="45" t="s">
        <v>135</v>
      </c>
      <c r="L32" s="46"/>
      <c r="M32" s="46"/>
    </row>
    <row r="33" spans="1:13" ht="168.95" customHeight="1">
      <c r="A33" s="121"/>
      <c r="B33" s="122"/>
      <c r="C33" s="43" t="s">
        <v>192</v>
      </c>
      <c r="D33" s="44" t="s">
        <v>200</v>
      </c>
      <c r="E33" s="44"/>
      <c r="F33" s="46"/>
      <c r="G33" s="46"/>
      <c r="H33" s="46"/>
      <c r="I33" s="45" t="s">
        <v>135</v>
      </c>
      <c r="J33" s="46"/>
      <c r="K33" s="45" t="s">
        <v>135</v>
      </c>
      <c r="L33" s="46"/>
      <c r="M33" s="46"/>
    </row>
    <row r="34" spans="1:13" ht="65.25">
      <c r="A34" s="121"/>
      <c r="B34" s="122"/>
      <c r="C34" s="43" t="s">
        <v>201</v>
      </c>
      <c r="D34" s="44" t="s">
        <v>202</v>
      </c>
      <c r="E34" s="44"/>
      <c r="F34" s="46"/>
      <c r="G34" s="46"/>
      <c r="H34" s="46"/>
      <c r="I34" s="45" t="s">
        <v>135</v>
      </c>
      <c r="J34" s="46"/>
      <c r="K34" s="45" t="s">
        <v>135</v>
      </c>
      <c r="L34" s="46"/>
      <c r="M34" s="46"/>
    </row>
    <row r="35" spans="1:13" ht="43.5">
      <c r="A35" s="121"/>
      <c r="B35" s="122"/>
      <c r="C35" s="43" t="s">
        <v>203</v>
      </c>
      <c r="D35" s="44" t="s">
        <v>204</v>
      </c>
      <c r="E35" s="44"/>
      <c r="F35" s="46"/>
      <c r="G35" s="46"/>
      <c r="H35" s="46"/>
      <c r="I35" s="45" t="s">
        <v>135</v>
      </c>
      <c r="J35" s="46"/>
      <c r="K35" s="45" t="s">
        <v>135</v>
      </c>
      <c r="L35" s="46"/>
      <c r="M35" s="46"/>
    </row>
    <row r="36" spans="1:13" ht="43.5">
      <c r="A36" s="121"/>
      <c r="B36" s="122"/>
      <c r="C36" s="43" t="s">
        <v>203</v>
      </c>
      <c r="D36" s="44" t="s">
        <v>205</v>
      </c>
      <c r="E36" s="44"/>
      <c r="F36" s="46"/>
      <c r="G36" s="46"/>
      <c r="H36" s="46"/>
      <c r="I36" s="45" t="s">
        <v>135</v>
      </c>
      <c r="J36" s="46"/>
      <c r="K36" s="45" t="s">
        <v>135</v>
      </c>
      <c r="L36" s="46"/>
      <c r="M36" s="46"/>
    </row>
    <row r="37" spans="1:13" ht="43.5">
      <c r="A37" s="121"/>
      <c r="B37" s="122"/>
      <c r="C37" s="43" t="s">
        <v>206</v>
      </c>
      <c r="D37" s="44" t="s">
        <v>207</v>
      </c>
      <c r="E37" s="44"/>
      <c r="F37" s="46"/>
      <c r="G37" s="46"/>
      <c r="H37" s="46"/>
      <c r="I37" s="45" t="s">
        <v>135</v>
      </c>
      <c r="J37" s="46"/>
      <c r="K37" s="45" t="s">
        <v>135</v>
      </c>
      <c r="L37" s="46"/>
      <c r="M37" s="46"/>
    </row>
    <row r="38" spans="1:13" ht="48.95" customHeight="1">
      <c r="A38" s="121"/>
      <c r="B38" s="122"/>
      <c r="C38" s="43" t="s">
        <v>208</v>
      </c>
      <c r="D38" s="44" t="s">
        <v>209</v>
      </c>
      <c r="E38" s="44"/>
      <c r="F38" s="46"/>
      <c r="G38" s="46"/>
      <c r="H38" s="46"/>
      <c r="I38" s="45" t="s">
        <v>135</v>
      </c>
      <c r="J38" s="46"/>
      <c r="K38" s="45" t="s">
        <v>135</v>
      </c>
      <c r="L38" s="46"/>
      <c r="M38" s="46"/>
    </row>
    <row r="39" spans="1:13" ht="72" customHeight="1">
      <c r="A39" s="51">
        <v>6</v>
      </c>
      <c r="B39" s="43" t="s">
        <v>210</v>
      </c>
      <c r="C39" s="43" t="s">
        <v>210</v>
      </c>
      <c r="D39" s="44" t="s">
        <v>211</v>
      </c>
      <c r="E39" s="107" t="s">
        <v>212</v>
      </c>
      <c r="F39" s="107"/>
      <c r="G39" s="107"/>
      <c r="H39" s="107"/>
      <c r="I39" s="107"/>
      <c r="J39" s="107"/>
      <c r="K39" s="108"/>
      <c r="L39" s="108"/>
      <c r="M39" s="46"/>
    </row>
    <row r="40" spans="1:13">
      <c r="A40" s="109"/>
      <c r="B40" s="109"/>
      <c r="C40" s="109"/>
      <c r="D40" s="109"/>
    </row>
    <row r="41" spans="1:13">
      <c r="A41" s="109"/>
      <c r="B41" s="109"/>
      <c r="C41" s="109"/>
      <c r="D41" s="109"/>
    </row>
    <row r="42" spans="1:13">
      <c r="A42" s="54"/>
      <c r="B42" s="55"/>
      <c r="C42" s="55"/>
      <c r="D42" s="56"/>
    </row>
    <row r="43" spans="1:13">
      <c r="A43" s="110"/>
      <c r="B43" s="110"/>
      <c r="C43" s="110"/>
      <c r="D43" s="110"/>
    </row>
    <row r="44" spans="1:13">
      <c r="A44" s="54"/>
      <c r="B44" s="55"/>
      <c r="C44" s="55"/>
      <c r="D44" s="56"/>
    </row>
    <row r="45" spans="1:13">
      <c r="A45" s="54"/>
      <c r="B45" s="55"/>
      <c r="C45" s="55"/>
      <c r="D45" s="56"/>
    </row>
    <row r="46" spans="1:13">
      <c r="A46" s="54"/>
      <c r="B46" s="55"/>
      <c r="C46" s="55"/>
      <c r="D46" s="56"/>
    </row>
  </sheetData>
  <mergeCells count="12">
    <mergeCell ref="E39:L39"/>
    <mergeCell ref="A40:D40"/>
    <mergeCell ref="A41:D41"/>
    <mergeCell ref="A43:D43"/>
    <mergeCell ref="A2:A13"/>
    <mergeCell ref="B2:B13"/>
    <mergeCell ref="A15:A20"/>
    <mergeCell ref="B15:B20"/>
    <mergeCell ref="A21:A25"/>
    <mergeCell ref="B21:B25"/>
    <mergeCell ref="A26:A38"/>
    <mergeCell ref="B26:B38"/>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6</vt:i4>
      </vt:variant>
    </vt:vector>
  </HeadingPairs>
  <TitlesOfParts>
    <vt:vector size="6" baseType="lpstr">
      <vt:lpstr>报价单-订阅模式</vt:lpstr>
      <vt:lpstr>报价单-投资模式</vt:lpstr>
      <vt:lpstr>云脉PC版</vt:lpstr>
      <vt:lpstr>CTG-SASE</vt:lpstr>
      <vt:lpstr>云脉SDP</vt:lpstr>
      <vt:lpstr>功能说明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超 高</cp:lastModifiedBy>
  <dcterms:modified xsi:type="dcterms:W3CDTF">2026-05-12T09:17:24Z</dcterms:modified>
</cp:coreProperties>
</file>